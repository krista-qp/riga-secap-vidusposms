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kristapetersone/Documents/SECAP-materiali-102026/"/>
    </mc:Choice>
  </mc:AlternateContent>
  <xr:revisionPtr revIDLastSave="0" documentId="13_ncr:1_{211148B6-0884-F341-85ED-D1AF5FAA7E2A}" xr6:coauthVersionLast="47" xr6:coauthVersionMax="47" xr10:uidLastSave="{00000000-0000-0000-0000-000000000000}"/>
  <bookViews>
    <workbookView xWindow="0" yWindow="660" windowWidth="30240" windowHeight="17100" xr2:uid="{3D0841FC-01E6-A54F-9A0B-A55A7D0FBEAE}"/>
  </bookViews>
  <sheets>
    <sheet name="SECAP2030 mērķi" sheetId="1" r:id="rId1"/>
    <sheet name="Rādītāji - vērtības" sheetId="2" r:id="rId2"/>
    <sheet name="Rādītāji - apraksts meto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6" i="1"/>
  <c r="J23" i="1"/>
  <c r="D23" i="1" s="1"/>
  <c r="G23" i="1"/>
  <c r="H23" i="1" s="1"/>
  <c r="F23" i="1" s="1"/>
  <c r="J22" i="1"/>
  <c r="G22" i="1"/>
  <c r="I22" i="1" s="1"/>
  <c r="G19" i="1"/>
  <c r="G14" i="1"/>
  <c r="H14" i="1" s="1"/>
  <c r="F14" i="1" s="1"/>
  <c r="G13" i="1"/>
  <c r="H13" i="1" s="1"/>
  <c r="F13" i="1" s="1"/>
  <c r="G10" i="1"/>
  <c r="H10" i="1" s="1"/>
  <c r="F10" i="1" s="1"/>
  <c r="G9" i="1"/>
  <c r="H9" i="1" s="1"/>
  <c r="F9" i="1" s="1"/>
  <c r="H22" i="2"/>
  <c r="I22" i="2"/>
  <c r="J22" i="2"/>
  <c r="K22" i="2"/>
  <c r="L22" i="2"/>
  <c r="M22" i="2"/>
  <c r="F37" i="1"/>
  <c r="L37" i="1"/>
  <c r="F36" i="1"/>
  <c r="L36" i="1"/>
  <c r="F35" i="1"/>
  <c r="L35" i="1"/>
  <c r="F34" i="1"/>
  <c r="L34" i="1"/>
  <c r="F29" i="1"/>
  <c r="L29" i="1"/>
  <c r="F28" i="1"/>
  <c r="L28" i="1"/>
  <c r="F26" i="1"/>
  <c r="L26" i="1"/>
  <c r="F24" i="1"/>
  <c r="L24" i="1"/>
  <c r="L23" i="1"/>
  <c r="L22" i="1"/>
  <c r="L19" i="1"/>
  <c r="F17" i="1"/>
  <c r="L17" i="1"/>
  <c r="F16" i="1"/>
  <c r="L16" i="1"/>
  <c r="L14" i="1"/>
  <c r="L13" i="1"/>
  <c r="F12" i="1"/>
  <c r="L12" i="1"/>
  <c r="F11" i="1"/>
  <c r="L11" i="1"/>
  <c r="L10" i="1"/>
  <c r="L9" i="1"/>
  <c r="F8" i="1"/>
  <c r="L8" i="1"/>
  <c r="I37" i="1"/>
  <c r="I36" i="1"/>
  <c r="I35" i="1"/>
  <c r="I34" i="1"/>
  <c r="I10" i="1"/>
  <c r="M75" i="2"/>
  <c r="L75" i="2"/>
  <c r="K75" i="2"/>
  <c r="J75" i="2"/>
  <c r="I75" i="2"/>
  <c r="H75" i="2"/>
  <c r="M74" i="2"/>
  <c r="G36" i="1" s="1"/>
  <c r="L74" i="2"/>
  <c r="K74" i="2"/>
  <c r="J74" i="2"/>
  <c r="I74" i="2"/>
  <c r="H74" i="2"/>
  <c r="M73" i="2"/>
  <c r="L73" i="2"/>
  <c r="K73" i="2"/>
  <c r="J73" i="2"/>
  <c r="I73" i="2"/>
  <c r="H73" i="2"/>
  <c r="M72" i="2"/>
  <c r="G35" i="1" s="1"/>
  <c r="L72" i="2"/>
  <c r="K72" i="2"/>
  <c r="J72" i="2"/>
  <c r="I72" i="2"/>
  <c r="H72" i="2"/>
  <c r="M71" i="2"/>
  <c r="L71" i="2"/>
  <c r="K71" i="2"/>
  <c r="J71" i="2"/>
  <c r="I71" i="2"/>
  <c r="H71" i="2"/>
  <c r="K69" i="2"/>
  <c r="J69" i="2"/>
  <c r="I69" i="2"/>
  <c r="M68" i="2"/>
  <c r="M69" i="2" s="1"/>
  <c r="L68" i="2"/>
  <c r="L69" i="2" s="1"/>
  <c r="K68" i="2"/>
  <c r="K70" i="2" s="1"/>
  <c r="J68" i="2"/>
  <c r="J70" i="2" s="1"/>
  <c r="I68" i="2"/>
  <c r="I70" i="2" s="1"/>
  <c r="H68" i="2"/>
  <c r="H69" i="2" s="1"/>
  <c r="H59" i="2"/>
  <c r="I59" i="2" s="1"/>
  <c r="J59" i="2" s="1"/>
  <c r="K59" i="2" s="1"/>
  <c r="L59" i="2" s="1"/>
  <c r="M59" i="2" s="1"/>
  <c r="M28" i="2"/>
  <c r="L28" i="2"/>
  <c r="K28" i="2"/>
  <c r="J28" i="2"/>
  <c r="I28" i="2"/>
  <c r="H28" i="2"/>
  <c r="H17" i="2"/>
  <c r="I17" i="2" s="1"/>
  <c r="J17" i="2" s="1"/>
  <c r="K17" i="2" s="1"/>
  <c r="L17" i="2" s="1"/>
  <c r="M17" i="2" s="1"/>
  <c r="M9" i="2"/>
  <c r="G8" i="1" s="1"/>
  <c r="H8" i="1" s="1"/>
  <c r="L9" i="2"/>
  <c r="K9" i="2"/>
  <c r="J9" i="2"/>
  <c r="I9" i="2"/>
  <c r="H9" i="2"/>
  <c r="B43" i="1"/>
  <c r="G37" i="1"/>
  <c r="H29" i="1"/>
  <c r="H28" i="1"/>
  <c r="H26" i="1"/>
  <c r="J24" i="1"/>
  <c r="K24" i="1" s="1"/>
  <c r="G24" i="1"/>
  <c r="D22" i="1"/>
  <c r="H19" i="1"/>
  <c r="F19" i="1" s="1"/>
  <c r="J17" i="1"/>
  <c r="K17" i="1" s="1"/>
  <c r="G17" i="1"/>
  <c r="I17" i="1" s="1"/>
  <c r="G16" i="1"/>
  <c r="H16" i="1" s="1"/>
  <c r="H12" i="1"/>
  <c r="G11" i="1"/>
  <c r="H11" i="1" s="1"/>
  <c r="K8" i="1"/>
  <c r="G7" i="1"/>
  <c r="I23" i="1" l="1"/>
  <c r="H17" i="1"/>
  <c r="H22" i="1"/>
  <c r="F22" i="1" s="1"/>
  <c r="H37" i="1"/>
  <c r="H36" i="1"/>
  <c r="H70" i="2"/>
  <c r="D17" i="1"/>
  <c r="H24" i="1"/>
  <c r="L70" i="2"/>
  <c r="M70" i="2"/>
  <c r="G34" i="1" s="1"/>
  <c r="H35" i="1"/>
  <c r="H34" i="1" l="1"/>
</calcChain>
</file>

<file path=xl/sharedStrings.xml><?xml version="1.0" encoding="utf-8"?>
<sst xmlns="http://schemas.openxmlformats.org/spreadsheetml/2006/main" count="839" uniqueCount="286">
  <si>
    <t>Rīgas SECAP 2022–2030: enerģētikas un CO2 emisiju mērķi</t>
  </si>
  <si>
    <t>Avots: Rīgas pilsētas Ilgtspējīgas enerģētikas un klimata rīcības plāns 2022.–2030. gadam</t>
  </si>
  <si>
    <t>4.1. tabula: Enerģētikas mērķi Rīgas pilsētai līdz 2030. gadam</t>
  </si>
  <si>
    <t>Mērķis</t>
  </si>
  <si>
    <t>Mērķa vērtība</t>
  </si>
  <si>
    <t>Mērķa gads</t>
  </si>
  <si>
    <t>Bāzes vērtība</t>
  </si>
  <si>
    <t>Bāzes gads</t>
  </si>
  <si>
    <t>Vidusposma statuss - 2025. gads</t>
  </si>
  <si>
    <t>2025. gada vērtība</t>
  </si>
  <si>
    <t>Progress līdz mērķim</t>
  </si>
  <si>
    <t>Rādītājs / komentārs</t>
  </si>
  <si>
    <t>Bāze (aprēķinam)</t>
  </si>
  <si>
    <t>Mērķis (aprēķinam)</t>
  </si>
  <si>
    <t>Pašvaldības infrastruktūra un iekārtas</t>
  </si>
  <si>
    <t>Ieviest, uzturēt un sertificēt EPS pašvaldībā atbilstoši ISO 50001:2018 standartam</t>
  </si>
  <si>
    <t>Sertifikāts</t>
  </si>
  <si>
    <t>2022</t>
  </si>
  <si>
    <t>Nav</t>
  </si>
  <si>
    <t>2020</t>
  </si>
  <si>
    <t>Rādītājs 1001: objektu skaits energopārvaldības sistēmā.</t>
  </si>
  <si>
    <t>Samazināt enerģijas patēriņu pašvaldības ēkās</t>
  </si>
  <si>
    <t>-20%</t>
  </si>
  <si>
    <t>2030</t>
  </si>
  <si>
    <t>199 243 MWh</t>
  </si>
  <si>
    <t>2019</t>
  </si>
  <si>
    <t>Rādītājs 1002 (elektroenerģija + siltumenerģija, bez dabasgāzes – kā SECAP bāzē).</t>
  </si>
  <si>
    <t>Nodrošināt klimatneitralitāti pašvaldības ēkās attiecībā uz izmantoto siltumenerģiju</t>
  </si>
  <si>
    <t>100% AER</t>
  </si>
  <si>
    <t>31%</t>
  </si>
  <si>
    <t>Netiešs: AER īpatsvars Rīgas CSS (rādītājs 3002), jo pašvaldības ēkas pārsvarā pieslēgtas CSS. Tiešu datu par ēku AER siltumu nav.</t>
  </si>
  <si>
    <t>Paaugstināt AER elektroenerģijas īpatsvaru pašvaldības infrastruktūrā</t>
  </si>
  <si>
    <t>100%</t>
  </si>
  <si>
    <t>54,36%</t>
  </si>
  <si>
    <t>Samazināt vidējo īpatnējo elektroenerģijas patēriņu, MWh/gaismeklis</t>
  </si>
  <si>
    <t>0,300</t>
  </si>
  <si>
    <t>Rādītājs 1012. Bāze koriģēta uz 0,497 (2020), jo gaismekļu skaits bija lielāks; SECAP bāze 0,597 (2019).</t>
  </si>
  <si>
    <t>Samazināt vidējo īpatnējo elektroenerģijas patēriņu, MWh/luksofors</t>
  </si>
  <si>
    <t>2,300</t>
  </si>
  <si>
    <t>2024</t>
  </si>
  <si>
    <t>2,314</t>
  </si>
  <si>
    <t>Nav datu par luksoforu patēriņu (mērķa gads 2024).</t>
  </si>
  <si>
    <t>Paaugstināt atjaunīgās elektroenerģijas īpatsvaru izmantošanā ielu apgaismojuma, luksoforu un pulksteņu darbināšanai</t>
  </si>
  <si>
    <t>Netiešs: AER īpatsvars elektroenerģijā Latvijā (Eurostat RES-E; palīgdati 'Rādītāji - vērtības' rindā 78; 2025 – provizoriski). Nav datu par AER elektroenerģijas iepirkumu ielu apgaismojumam.</t>
  </si>
  <si>
    <t>Paaugstināt AER īpatsvaru izmantotajā enerģijā pašvaldības darbinieku transportā</t>
  </si>
  <si>
    <t>1%</t>
  </si>
  <si>
    <t>Netiešs: elektroauto īpatsvars pašvaldības autoparkā (rādītājs 1015): 2025 – 173 no 1443 transportlīdzekļiem (12,0%); 2023 – 4,2%, 2024 – 7,8%.</t>
  </si>
  <si>
    <t>Daudzdzīvokļu ēkas</t>
  </si>
  <si>
    <t>Atjaunot daudzdzīvokļu ēku dzīvojamo fondu Rīgā</t>
  </si>
  <si>
    <t>2000 ēkas</t>
  </si>
  <si>
    <t>159 ēkas</t>
  </si>
  <si>
    <t>Rādītājs 2004 (kopā atjaunotās ēkas). 2025. g. vērtība 209 un bāze 159 – Ekonomikas ministrijas dati (viena uzskaites metode); nav salīdzināmi ar 2020–2024 vērtībām rādītāju tabulā (68–146, cita uzskaite).</t>
  </si>
  <si>
    <t>Samazināt siltumenerģijas patēriņu daudzdzīvokļu ēkās, kas pieslēgtas Rīgas pilsētas CSS</t>
  </si>
  <si>
    <t>Centralizētā siltumapgāde</t>
  </si>
  <si>
    <t>Paaugstināt AER īpatsvaru Rīgas pilsētas CSS</t>
  </si>
  <si>
    <t>≥66%</t>
  </si>
  <si>
    <t>Rādītājs 3002.</t>
  </si>
  <si>
    <t>Samazināt relatīvos siltumenerģijas zudumus siltumtīklos</t>
  </si>
  <si>
    <t>11,6%</t>
  </si>
  <si>
    <t>11,7%</t>
  </si>
  <si>
    <t>Netiek vērtēts</t>
  </si>
  <si>
    <t>n/a</t>
  </si>
  <si>
    <t>AS "Rīgas siltums" Ilgtspējas pārskats: zudumi 12,49% – virs bāzes (11,7%) un mērķa (11,6%). Relatīvie zudumi katru gadu ir atkarīgi no klimatiskajiem apstākļiem (āra temperatūra, apkures sezonas ilgums), tāpēc gadu vērtības nav tieši salīdzināmas. Jāpārskata mērķis.</t>
  </si>
  <si>
    <t>Decentralizētā siltumapgāde / gāzes apgāde</t>
  </si>
  <si>
    <t>Samazināt decentralizētās siltumapgādes īpatsvaru</t>
  </si>
  <si>
    <t>40%</t>
  </si>
  <si>
    <t>Paaugstināt AER īpatsvaru decentralizētajā siltumapgādē Rīgas pilsētā</t>
  </si>
  <si>
    <t>60%</t>
  </si>
  <si>
    <t>Samazināt dabas gāzes patēriņu Rīgā visos sektoros</t>
  </si>
  <si>
    <t>-30%</t>
  </si>
  <si>
    <t>362 429 tūkst. m3</t>
  </si>
  <si>
    <t>Rādītājs 3005, GWh. SECAP bāzes vērtība 362 429 tūkst. m3 atbilst GASO 2020. gada datiem (30 856 + 331 573), tāpēc salīdzināts ar 2020. gadu.</t>
  </si>
  <si>
    <t>Elektroapgāde</t>
  </si>
  <si>
    <t>Paaugstināt AER elektroenerģijas īpatsvaru Rīgā</t>
  </si>
  <si>
    <t>&gt;15%</t>
  </si>
  <si>
    <t>4%</t>
  </si>
  <si>
    <t>Transports</t>
  </si>
  <si>
    <t>Palielināt AER īpatsvaru sabiedriskā transporta sektorā</t>
  </si>
  <si>
    <t>50%</t>
  </si>
  <si>
    <t>16%</t>
  </si>
  <si>
    <t>Samazināt privāto automašīnu lietotāju īpatsvaru</t>
  </si>
  <si>
    <t>37,4%</t>
  </si>
  <si>
    <t>42,4%</t>
  </si>
  <si>
    <t>Nav rādītāja (nepieciešams mobilitātes pētījums).</t>
  </si>
  <si>
    <t>4.2. tabula: CO2 samazināšanas mērķi Rīgas pilsētai līdz 2030. gadam</t>
  </si>
  <si>
    <t>Samazināt Rīgas kopējās CO2 emisijas</t>
  </si>
  <si>
    <t>-30%
-70%</t>
  </si>
  <si>
    <t>1742 ktCO2
4291 ktCO2</t>
  </si>
  <si>
    <t>2019
1990</t>
  </si>
  <si>
    <t>Samazināt CO2 emisijas enerģijas ražošanā</t>
  </si>
  <si>
    <t>-30%
-51%</t>
  </si>
  <si>
    <t>934 ktCO2*
1400 ktCO2</t>
  </si>
  <si>
    <t>Samazināt CO2 emisijas transporta sektorā</t>
  </si>
  <si>
    <t>-30%
+21,5%</t>
  </si>
  <si>
    <t>808 ktCO2*
600 ktCO2</t>
  </si>
  <si>
    <t>Samazināt emisijas Rīgas Domes infrastruktūrā</t>
  </si>
  <si>
    <t>-100%</t>
  </si>
  <si>
    <t>37,9 ktCO2</t>
  </si>
  <si>
    <t>Vērtēšanas metode</t>
  </si>
  <si>
    <t>Pārskata gads</t>
  </si>
  <si>
    <t>atsevišķos gadījumos 2020</t>
  </si>
  <si>
    <t>Pielaide trajektorijai (procentpunkti)</t>
  </si>
  <si>
    <t>Nosaukums</t>
  </si>
  <si>
    <t>Sektors</t>
  </si>
  <si>
    <t>Apakšsektors</t>
  </si>
  <si>
    <t>Vienība</t>
  </si>
  <si>
    <t>Pašvaldības sektors</t>
  </si>
  <si>
    <t>Objektu skaits energopārvaldības sistēmā</t>
  </si>
  <si>
    <t>Pašvaldības infrastruktūra</t>
  </si>
  <si>
    <t>Ēkas</t>
  </si>
  <si>
    <t>skaits</t>
  </si>
  <si>
    <t>Enerģijas patēriņš pašvaldības ēkās</t>
  </si>
  <si>
    <t>MWh/gadā</t>
  </si>
  <si>
    <t>Pašvaldības ēku elektroenerģijas patēriņš</t>
  </si>
  <si>
    <t>Pašvaldības ēku siltumenerģijas patēriņš</t>
  </si>
  <si>
    <t>Pašvaldības ēku dabasgāzes patēriņš</t>
  </si>
  <si>
    <t>Īpatnējais siltumenerģijas patēriņš pašvaldības biroju ēkās</t>
  </si>
  <si>
    <t>kWh/m2</t>
  </si>
  <si>
    <t>Īpatnējais siltumenerģijas patēriņš skolās</t>
  </si>
  <si>
    <t>Īpatnējais ūdens patēriņš pašvaldības ēkās</t>
  </si>
  <si>
    <t>l/m2</t>
  </si>
  <si>
    <t>Atjaunoto pašvaldības ēku skaits</t>
  </si>
  <si>
    <t>skaits, kumulatīvi</t>
  </si>
  <si>
    <t>Uzstādīto saules paneļu jaudas</t>
  </si>
  <si>
    <t>kWp, kumulatīvi</t>
  </si>
  <si>
    <t>Elektroenerģijas patēriņš ielu apgaismojumam</t>
  </si>
  <si>
    <t>Ielu apgaismojums</t>
  </si>
  <si>
    <t>Īpatnējais enerģijas patēriņš uz gaismekli</t>
  </si>
  <si>
    <t>MWh/gaismeklis gadā</t>
  </si>
  <si>
    <t>LED gaismekļu īpatsvars ielu apgaismojumā</t>
  </si>
  <si>
    <t>%</t>
  </si>
  <si>
    <t>Elektroauto skaits pašvaldības autoparkā</t>
  </si>
  <si>
    <t>Elektroauto īpatsvars</t>
  </si>
  <si>
    <t>Pašvaldības ēku  elektroenerģijas patēriņa CO2 emisijas</t>
  </si>
  <si>
    <t>CO2 emisijas</t>
  </si>
  <si>
    <t>tCO2/gadā</t>
  </si>
  <si>
    <t>Pašvaldības ēku  siltumenerģijas patēriņa CO2 emisijas</t>
  </si>
  <si>
    <t>Ielu apgaismojuma elektroenerģijas patēriņa CO2 emisijas</t>
  </si>
  <si>
    <t>Ūdens apgādes elektroenerģijas patēriņa CO2 emisijas</t>
  </si>
  <si>
    <t>Pašvaldības sektora transporta CO2 emisijas</t>
  </si>
  <si>
    <t>Pašvaldības sektora CO2 emisijas, kopā</t>
  </si>
  <si>
    <t>Daudzdzīvokļu dzīvojamo ēku sektors</t>
  </si>
  <si>
    <t>Siltumapgāde</t>
  </si>
  <si>
    <t>Energoefektivitātes novērtējums apkurei - visas ēkas, pieslēgtas CSS</t>
  </si>
  <si>
    <t>Energoefektivitātes novērtējums apkurei - atjaunotās ēkas, pieslēgtas CSS</t>
  </si>
  <si>
    <t>Atjaunoto daudzdzīvokļu ēku skaits</t>
  </si>
  <si>
    <t>Atjaunošana</t>
  </si>
  <si>
    <t>skaits, kopā</t>
  </si>
  <si>
    <t>Daudzdzīvokļu ēku skaits gadā, kas pieteikušās veikt ēku atjaunošanu</t>
  </si>
  <si>
    <t>skaits, gadā</t>
  </si>
  <si>
    <t>Konsultācijas iedzīvotājiem par ēku atjaunošanu</t>
  </si>
  <si>
    <t>skaits/gadā</t>
  </si>
  <si>
    <t>CO2 emisijas - mājsaimniecību sektors (siltumenerģija un kurināmais)</t>
  </si>
  <si>
    <t>CO2 emisijas - mājsaimniecību sektors (elektroenerģija)</t>
  </si>
  <si>
    <t>Enerģijas ražošanas sektors</t>
  </si>
  <si>
    <t>Patērētājiem nodotais siltumenerģijas apjoms Rīgas pilsētas CSS</t>
  </si>
  <si>
    <t>Enerģija</t>
  </si>
  <si>
    <t>GWh/gadā</t>
  </si>
  <si>
    <t>AER īpatsvars Rīgas pilsētas CSS</t>
  </si>
  <si>
    <t>Dabasgāzes patēriņš mājokļu sektorā (mājsaimniecības)</t>
  </si>
  <si>
    <t>Decentralizētā energoapgāde</t>
  </si>
  <si>
    <t>Dabasgāzes patēriņš sabiedriskais sektors (pārējie lietotāji)</t>
  </si>
  <si>
    <t>Dabasgāzes patēriņš Rīgā kopā</t>
  </si>
  <si>
    <t>Dabasgāze</t>
  </si>
  <si>
    <t>Kopējais elektroenerģijas patēriņš</t>
  </si>
  <si>
    <t>Elektroenerģija</t>
  </si>
  <si>
    <t>No AER saražotās elektroenerģijas īpatsvars</t>
  </si>
  <si>
    <t>Saules elektroenerģijas apjoms, kas nodots tīklā (juridiskas personas)</t>
  </si>
  <si>
    <t>Energokopienu skaits Rīgā</t>
  </si>
  <si>
    <t>Energokopienas</t>
  </si>
  <si>
    <t>CO2 emisijas - centralizētā siltumapgāde</t>
  </si>
  <si>
    <t>CO2 emisijas - elektroenerģijas patēriņš</t>
  </si>
  <si>
    <t>CO2 emisijas - kurināmā patēriņš</t>
  </si>
  <si>
    <t>CO2 emisijas - pakalpojumu un rūpniecības sektors, pārējie (siltumenerģija un kurināmais)</t>
  </si>
  <si>
    <t>CO2 emisijas - pakalpojumi, rūpniecība un pārējie, t. sk. lauksaimniecība (elektroenerģija)</t>
  </si>
  <si>
    <t>Transporta sektors</t>
  </si>
  <si>
    <t>Reģistrētie transportlīdzekļi, kopā</t>
  </si>
  <si>
    <t>Transports, kopā</t>
  </si>
  <si>
    <t>Reģistrētie transportlīdzekļi ar elektromotoriem</t>
  </si>
  <si>
    <t>Elektro uzlādes pieslēgvietu skaits Rīgā</t>
  </si>
  <si>
    <t>Veloceļu garums</t>
  </si>
  <si>
    <t>km</t>
  </si>
  <si>
    <t>Pārvadāto pasažieru skaits pa veidiem sabiedriskajā transportā</t>
  </si>
  <si>
    <t>Sabiedriskais</t>
  </si>
  <si>
    <t>milj. pasažieru gadā</t>
  </si>
  <si>
    <t>Ikgadējais sabiedriskā transporta "Rīgas Satiksme" nobraukums maršrutu tīklā</t>
  </si>
  <si>
    <t>tūkst. km</t>
  </si>
  <si>
    <t>AER īpatsvars sabiedriskā transporta sektorā</t>
  </si>
  <si>
    <t>CO2 emisijas privātajā transportā</t>
  </si>
  <si>
    <t>CO2 emisijas sabiedriskajā transportā (Rīgas Satiksme)</t>
  </si>
  <si>
    <t>CO2 emisijas dzelzceļa transportā</t>
  </si>
  <si>
    <t>Transporta sektora CO2 emisijas, kopā</t>
  </si>
  <si>
    <t>Citi</t>
  </si>
  <si>
    <t>Pilsētas CO2 emisijas kopā</t>
  </si>
  <si>
    <t>Kopā</t>
  </si>
  <si>
    <t>Bāzes vērtība, kt</t>
  </si>
  <si>
    <t>CO2 izmaiņas pret 1990. gadu, kopā</t>
  </si>
  <si>
    <t>CO2 izmaiņas pret 2019. gadu, kopā</t>
  </si>
  <si>
    <t>CO2 izmaiņas pret 1990. gadu, enerģija</t>
  </si>
  <si>
    <t>CO2 izmaiņas pret 2019. gadu, enerģija</t>
  </si>
  <si>
    <t>CO2 izmaiņas pret 1990. gadu, transports</t>
  </si>
  <si>
    <t>CO2 izmaiņas pret 2019. gadu, transports</t>
  </si>
  <si>
    <t>CO2 izmaiņas pret 2019. gadu, pašvaldības sektors</t>
  </si>
  <si>
    <t>Palīgdati aprēķiniem (nav Rīgas rādītājs)</t>
  </si>
  <si>
    <t>AER īpatsvars elektroenerģijā Latvijā (RES-E, Eurostat)</t>
  </si>
  <si>
    <t>Daudzdzīvokļu ēku siltumenerģijas patēriņš, kas pieslēgtas CSS (ar klimata korekciju)</t>
  </si>
  <si>
    <t>Sistēmas dati par objektu skaitu EPS</t>
  </si>
  <si>
    <t>Apraksts</t>
  </si>
  <si>
    <t/>
  </si>
  <si>
    <t/>
  </si>
  <si>
    <t>Dati par kopējo patēriņu - visi objekti, arī ārpus EPS</t>
  </si>
  <si>
    <t>Aprēķins atsevišķi biroju ēkām - attiecībā pret platību</t>
  </si>
  <si>
    <t>Aprēķins atsevišķi skolām - attiecībā pret platību</t>
  </si>
  <si>
    <t>Kopējais patēriņš - attiecībā pret platību</t>
  </si>
  <si>
    <t>ĪD</t>
  </si>
  <si>
    <t>Sistēmas dati EPS</t>
  </si>
  <si>
    <t>Sistēmas dati EPS pret gaismekļu skaitu, iesk. prožektorus</t>
  </si>
  <si>
    <t/>
  </si>
  <si>
    <t/>
  </si>
  <si>
    <t>LED skaits pret kopējo gaismekļu skaitu</t>
  </si>
  <si>
    <t>Finanšu departamenta dati par pamatlīdzekļu uzskaiti un degvielas patēriņu</t>
  </si>
  <si>
    <t/>
  </si>
  <si>
    <t>Elektroenerģijas patēriņš reiz emisiju faktors</t>
  </si>
  <si>
    <t>Finanšu departamenta dati par pamatlīdzekļu uzskaiti un degvielas patēriņu ar emisiju faktu</t>
  </si>
  <si>
    <t/>
  </si>
  <si>
    <t>Siltumenerģijas patēriņš (bez dabasgāzes) reiz gada CSS emisiju faktors</t>
  </si>
  <si>
    <t xml:space="preserve">Kopā - elektroenerģija, siltumenerģija, transports </t>
  </si>
  <si>
    <t/>
  </si>
  <si>
    <t/>
  </si>
  <si>
    <t>Saite uz resursu, ja pieejama</t>
  </si>
  <si>
    <t>Ēkām piegādātais siltumenerģijas apjoms proporcionāli apkures dienu skaitam</t>
  </si>
  <si>
    <t>Divi avoti: ĢeoRīga CSS pieslēgtās, Ekonomikas ministrijas karte</t>
  </si>
  <si>
    <t>Altum programmas publiskie dati</t>
  </si>
  <si>
    <t>REA ēku grupas konsultāciju reģistrs</t>
  </si>
  <si>
    <t xml:space="preserve">SEG aprēķinu tabula - dalījums patēriņa gala sektoros </t>
  </si>
  <si>
    <t>Rīgas Siltums dati</t>
  </si>
  <si>
    <t>Gaso dati</t>
  </si>
  <si>
    <t/>
  </si>
  <si>
    <t>Centrālā statistikas pārvalde, rādītājs</t>
  </si>
  <si>
    <t xml:space="preserve">Valsts Vides dienesta dati, atvērto datu portāls, konsultācijas </t>
  </si>
  <si>
    <t>https://data.gov.lv/dati/eng/dataset/vvdenergokopienas/resource/e0b8ed6d-139d-404f-974a-fbf3375f6377</t>
  </si>
  <si>
    <t>https://data.stat.gov.lv/pxweb/lv/OSP_PUB/START__NOZ__EN__ENA/ENA050</t>
  </si>
  <si>
    <t>https://data.stat.gov.lv/pxweb/lv/OSP_PUB/START__NOZ__EN__ENB/ENB210</t>
  </si>
  <si>
    <t>REA emisiju aprēķina tabula</t>
  </si>
  <si>
    <t>Decentralizētās siltumapgādes īpatsvars siltumenerģijas galapatēriņā</t>
  </si>
  <si>
    <t>AER īpatsvars decentralizētajā siltumapgādē</t>
  </si>
  <si>
    <t>SEG inventarizācija (Riga-CO2-Kopa-2025): decentralizētā kurināmā patēriņš / kopējais siltumenerģijas galapatēriņš (CSS + decentralizētā), Kopā_2025 rinda 67 / rinda 24. Ietver ETS iekārtas un GASO “pārējos” patērētājus.</t>
  </si>
  <si>
    <t>SEG inventarizācija (Riga-CO2-Kopa-2025): (biomasa decentralizētajā apgādē pēc CSS atskaitīšanas, Decentralizēti_2020–2025 lapas + mājsaimniecību AER ārpus CSS) / decentralizētā kurināmā patēriņš (Kopā_2025 rinda 67). Mājsaimniecību AER = rinda 17 − dabasgāze (GASO).</t>
  </si>
  <si>
    <t>Sasniegts</t>
  </si>
  <si>
    <t>Rādītājs 3009.</t>
  </si>
  <si>
    <t>Sadales tīkls dati. Bez transporta elektroenerģijas, kas uzskaitīta transporta sektorā (rādītājs 4011) – kā SEG inventarizācijā (Kopā_2025 rinda 66).</t>
  </si>
  <si>
    <t>Rādītājs 4007.</t>
  </si>
  <si>
    <t>0,497 (0,597)</t>
  </si>
  <si>
    <t>Laika progress (aprēķinam)</t>
  </si>
  <si>
    <t>Laika progress (pārskata gads, bāzes gads 2019)</t>
  </si>
  <si>
    <t>Progress = (2025. g. vērtība − bāze) / (mērķis − bāze). Laika progress katram mērķim aprēķināts pēc tā bāzes gada (kolonna E; kolonna L): 2019 – 54,5%, 2020 – 50,0%. Statuss: ≥100% – Sasniegts; ≥ laika progress − pielaide – Atbilst trajektorijai; &gt;0 – Atpaliek no trajektorijas; ≤0 – Nav progresa; bez rādītāja – Nav datu.</t>
  </si>
  <si>
    <t>Kumulatīvais pašvaldības ēku skaits, kurās veikta energoefektivitātes atjaunošana. ĪD dati; 2020–2025 dati nav pieejami.</t>
  </si>
  <si>
    <t>Vidējais īpatnējais siltumenerģijas patēriņš apkurei visās CSS pieslēgtajās daudzdzīvokļu ēkās – apkures patēriņš (ar klimata korekciju) pret apkurināmo platību.</t>
  </si>
  <si>
    <t>Vidējais īpatnējais siltumenerģijas patēriņš apkurei atjaunotajās CSS pieslēgtajās daudzdzīvokļu ēkās – apkures patēriņš (ar klimata korekciju) pret apkurināmo platību.</t>
  </si>
  <si>
    <t>CSS patērētājiem nodotās siltumenerģijas (rādītājs 3001) CO2 emisijas – kurināmā patēriņš reiz emisiju faktori. SEG inventarizācija.</t>
  </si>
  <si>
    <t>Kopējā elektroenerģijas patēriņa (rādītājs 3008) CO2 emisijas – patēriņš reiz elektroenerģijas emisiju faktors. Atbilst summai 1016 + 1018 + 1019 + 2008 + 3016. SEG inventarizācija.</t>
  </si>
  <si>
    <t>Decentralizētās siltumapgādes kurināmā (ārpus CSS) patēriņa CO2 emisijas – kurināmā patēriņš reiz emisiju faktori. SEG inventarizācija.</t>
  </si>
  <si>
    <t>Pakalpojumu, rūpniecības un pārējo patērētāju CO2 emisijas no siltumenerģijas (CSS) un kurināmā. SEG aprēķinu tabula – dalījums patēriņa gala sektoros; 1017 + 2007 + 3015 = 3012 + 3014.</t>
  </si>
  <si>
    <t>Pakalpojumu, rūpniecības un pārējo patērētāju (t. sk. lauksaimniecības) elektroenerģijas patēriņa CO2 emisijas. SEG aprēķinu tabula – dalījums patēriņa gala sektoros.</t>
  </si>
  <si>
    <t>Rīgā reģistrēto transportlīdzekļu skaits gada beigās. CSDD dati.</t>
  </si>
  <si>
    <t>Rīgā reģistrēto transportlīdzekļu ar elektromotoriem skaits gada beigās. CSDD dati.</t>
  </si>
  <si>
    <t>Publiski pieejamo elektrotransporta uzlādes pieslēgvietu skaits Rīgā gada beigās.</t>
  </si>
  <si>
    <t>Veloinfrastruktūras kopgarums Rīgā, kumulatīvi: 2020. g. garums + katru gadu izbūvētie posmi.</t>
  </si>
  <si>
    <t>Sabiedriskajā transportā pārvadāto pasažieru skaits gadā (autobuss, trolejbuss, tramvajs). Rīgas Satiksme dati.</t>
  </si>
  <si>
    <t>Rīgas Satiksme transportlīdzekļu kopējais gada nobraukums maršrutu tīklā. Rīgas Satiksme dati.</t>
  </si>
  <si>
    <t>AER īpatsvars Rīgas Satiksme sabiedriskā transporta enerģijas patēriņā. Rīgas Satiksme dati.</t>
  </si>
  <si>
    <t>Privātā autotransporta degvielas patēriņa CO2 emisijas. SEG inventarizācija.</t>
  </si>
  <si>
    <t>Rīgas Satiksme sabiedriskā transporta enerģijas (degvielas un elektroenerģijas) patēriņa CO2 emisijas. SEG inventarizācija.</t>
  </si>
  <si>
    <t>Dzelzceļa transporta enerģijas patēriņa CO2 emisijas Rīgas teritorijā. SEG inventarizācija.</t>
  </si>
  <si>
    <t>Kopā: 4008 + 4009 + 4010 + pašvaldības transports (rādītājs 1020).</t>
  </si>
  <si>
    <t>Pilsētas kopējās CO2 emisijas (rādītājs 5001) pret 1990. g. bāzi 4291 kt: 5001 / bāze − 1.</t>
  </si>
  <si>
    <t>Pilsētas kopējās CO2 emisijas (rādītājs 5001) pret 2019. g. bāzi 1742 kt: 5001 / bāze − 1.</t>
  </si>
  <si>
    <t>Enerģijas sektora CO2 emisijas (3012 + 3013 + 3014) pret 1990. g. bāzi 1400 kt: summa / bāze − 1.</t>
  </si>
  <si>
    <t>Enerģijas sektora CO2 emisijas (3012 + 3013 + 3014) pret 2019. g. bāzi 934 kt (SEG inventarizācija; SECAP 914 kt): summa / bāze − 1.</t>
  </si>
  <si>
    <t>Transporta sektora CO2 emisijas (rādītājs 4011) pret 1990. g. bāzi 600 kt: 4011 / bāze − 1.</t>
  </si>
  <si>
    <t>Transporta sektora CO2 emisijas (rādītājs 4011) pret 2019. g. bāzi 808 kt (SEG inventarizācija): 4011 / bāze − 1.</t>
  </si>
  <si>
    <t>Pašvaldības sektora CO2 emisijas (1016–1020, t. sk. ūdensapgāde) pret 2019. g. bāzi 37,9 kt: summa / bāze − 1.</t>
  </si>
  <si>
    <t>FD</t>
  </si>
  <si>
    <t>Citu struktūrvienību iesaiste</t>
  </si>
  <si>
    <t xml:space="preserve">https://www.transportdata.gov.lv/lv/card/978835ee-f55b-481c-9791-ba0395d3619a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</si>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</sst>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"/>
    <numFmt numFmtId="165" formatCode="#,##0.0"/>
    <numFmt numFmtId="166" formatCode="0.0%;\-0.0%;\-"/>
    <numFmt numFmtId="167" formatCode="0.0%"/>
  </numFmts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sz val="11"/>
      <name val="Arial"/>
      <family val="2"/>
      <charset val="186"/>
    </font>
    <font>
      <b/>
      <sz val="12"/>
      <color rgb="FF0000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20"/>
      <color rgb="FF00000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5"/>
      <color rgb="FF0B0B0B"/>
      <name val="Helvetica"/>
      <family val="2"/>
    </font>
    <font>
      <u/>
      <sz val="12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AEDFB"/>
        <bgColor indexed="64"/>
      </patternFill>
    </fill>
    <fill>
      <patternFill patternType="solid">
        <fgColor rgb="FFEEF7FD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5F3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 style="thin">
        <color rgb="FF8C8C8C"/>
      </left>
      <right/>
      <top style="thin">
        <color rgb="FF8C8C8C"/>
      </top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/>
      <diagonal/>
    </border>
    <border>
      <left/>
      <right/>
      <top style="thin">
        <color rgb="FF8C8C8C"/>
      </top>
      <bottom/>
      <diagonal/>
    </border>
    <border>
      <left style="thin">
        <color rgb="FF8C8C8C"/>
      </left>
      <right style="thin">
        <color rgb="FF8C8C8C"/>
      </right>
      <top/>
      <bottom style="thin">
        <color rgb="FF8C8C8C"/>
      </bottom>
      <diagonal/>
    </border>
    <border>
      <left style="thin">
        <color rgb="FF8C8C8C"/>
      </left>
      <right style="thin">
        <color rgb="FF8C8C8C"/>
      </right>
      <top/>
      <bottom/>
      <diagonal/>
    </border>
  </borders>
  <cellStyleXfs count="3">
    <xf numFmtId="0" fontId="0" fillId="0" borderId="0"/>
    <xf numFmtId="0" fontId="8" fillId="0" borderId="0"/>
    <xf numFmtId="0" fontId="14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2" fontId="0" fillId="0" borderId="0" xfId="0" applyNumberFormat="1" applyAlignment="1">
      <alignment horizontal="left"/>
    </xf>
    <xf numFmtId="14" fontId="0" fillId="0" borderId="0" xfId="0" applyNumberFormat="1"/>
    <xf numFmtId="0" fontId="5" fillId="0" borderId="0" xfId="0" applyFont="1" applyAlignment="1">
      <alignment horizontal="left"/>
    </xf>
    <xf numFmtId="0" fontId="7" fillId="0" borderId="0" xfId="0" applyFont="1"/>
    <xf numFmtId="9" fontId="0" fillId="0" borderId="0" xfId="0" applyNumberFormat="1"/>
    <xf numFmtId="0" fontId="1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9" fontId="10" fillId="0" borderId="0" xfId="0" applyNumberFormat="1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2" xfId="0" applyNumberForma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3" fontId="0" fillId="5" borderId="2" xfId="0" applyNumberFormat="1" applyFill="1" applyBorder="1" applyAlignment="1">
      <alignment horizontal="center" vertical="center" wrapText="1"/>
    </xf>
    <xf numFmtId="9" fontId="0" fillId="5" borderId="2" xfId="0" applyNumberFormat="1" applyFill="1" applyBorder="1" applyAlignment="1">
      <alignment horizontal="center" vertical="center" wrapText="1"/>
    </xf>
    <xf numFmtId="3" fontId="10" fillId="5" borderId="2" xfId="0" applyNumberFormat="1" applyFont="1" applyFill="1" applyBorder="1" applyAlignment="1">
      <alignment horizontal="center" vertical="center" wrapText="1"/>
    </xf>
    <xf numFmtId="3" fontId="10" fillId="5" borderId="3" xfId="0" applyNumberFormat="1" applyFont="1" applyFill="1" applyBorder="1" applyAlignment="1">
      <alignment horizontal="center" vertical="center" wrapText="1"/>
    </xf>
    <xf numFmtId="9" fontId="1" fillId="5" borderId="2" xfId="0" applyNumberFormat="1" applyFont="1" applyFill="1" applyBorder="1" applyAlignment="1">
      <alignment horizontal="center" vertical="center" wrapText="1"/>
    </xf>
    <xf numFmtId="167" fontId="0" fillId="5" borderId="2" xfId="0" applyNumberFormat="1" applyFill="1" applyBorder="1" applyAlignment="1">
      <alignment horizontal="center" vertical="center" wrapText="1"/>
    </xf>
    <xf numFmtId="9" fontId="0" fillId="5" borderId="2" xfId="0" applyNumberFormat="1" applyFill="1" applyBorder="1" applyAlignment="1">
      <alignment horizontal="left" vertical="center" wrapText="1"/>
    </xf>
    <xf numFmtId="167" fontId="10" fillId="5" borderId="2" xfId="0" applyNumberFormat="1" applyFont="1" applyFill="1" applyBorder="1" applyAlignment="1">
      <alignment horizontal="center" vertical="center" wrapText="1"/>
    </xf>
    <xf numFmtId="167" fontId="10" fillId="5" borderId="3" xfId="0" applyNumberFormat="1" applyFont="1" applyFill="1" applyBorder="1" applyAlignment="1">
      <alignment horizontal="center" vertical="center" wrapText="1"/>
    </xf>
    <xf numFmtId="10" fontId="10" fillId="5" borderId="2" xfId="0" applyNumberFormat="1" applyFont="1" applyFill="1" applyBorder="1" applyAlignment="1">
      <alignment horizontal="center" vertical="center" wrapText="1"/>
    </xf>
    <xf numFmtId="9" fontId="10" fillId="5" borderId="3" xfId="0" applyNumberFormat="1" applyFont="1" applyFill="1" applyBorder="1" applyAlignment="1">
      <alignment horizontal="center" vertical="center" wrapText="1"/>
    </xf>
    <xf numFmtId="164" fontId="0" fillId="5" borderId="2" xfId="0" applyNumberFormat="1" applyFill="1" applyBorder="1" applyAlignment="1">
      <alignment horizontal="center" vertical="center" wrapText="1"/>
    </xf>
    <xf numFmtId="164" fontId="10" fillId="5" borderId="2" xfId="0" applyNumberFormat="1" applyFont="1" applyFill="1" applyBorder="1" applyAlignment="1">
      <alignment horizontal="center" vertical="center" wrapText="1"/>
    </xf>
    <xf numFmtId="164" fontId="10" fillId="5" borderId="3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left" vertical="center" wrapText="1"/>
    </xf>
    <xf numFmtId="49" fontId="9" fillId="3" borderId="2" xfId="0" applyNumberFormat="1" applyFont="1" applyFill="1" applyBorder="1" applyAlignment="1">
      <alignment horizontal="center" vertical="center" wrapText="1"/>
    </xf>
    <xf numFmtId="49" fontId="9" fillId="3" borderId="3" xfId="0" applyNumberFormat="1" applyFont="1" applyFill="1" applyBorder="1" applyAlignment="1">
      <alignment horizontal="center" vertical="center" wrapText="1"/>
    </xf>
    <xf numFmtId="10" fontId="0" fillId="5" borderId="2" xfId="0" applyNumberFormat="1" applyFill="1" applyBorder="1" applyAlignment="1">
      <alignment horizontal="center" vertical="center" wrapText="1"/>
    </xf>
    <xf numFmtId="0" fontId="0" fillId="0" borderId="4" xfId="0" applyBorder="1"/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6" borderId="1" xfId="0" applyFont="1" applyFill="1" applyBorder="1"/>
    <xf numFmtId="3" fontId="3" fillId="6" borderId="1" xfId="0" applyNumberFormat="1" applyFont="1" applyFill="1" applyBorder="1" applyAlignment="1">
      <alignment horizontal="right"/>
    </xf>
    <xf numFmtId="165" fontId="3" fillId="6" borderId="1" xfId="0" applyNumberFormat="1" applyFont="1" applyFill="1" applyBorder="1" applyAlignment="1">
      <alignment horizontal="right"/>
    </xf>
    <xf numFmtId="164" fontId="3" fillId="6" borderId="1" xfId="0" applyNumberFormat="1" applyFont="1" applyFill="1" applyBorder="1" applyAlignment="1">
      <alignment horizontal="right"/>
    </xf>
    <xf numFmtId="166" fontId="3" fillId="6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6" fillId="3" borderId="1" xfId="0" applyFont="1" applyFill="1" applyBorder="1"/>
    <xf numFmtId="2" fontId="6" fillId="3" borderId="1" xfId="0" applyNumberFormat="1" applyFont="1" applyFill="1" applyBorder="1" applyAlignment="1">
      <alignment horizontal="left"/>
    </xf>
    <xf numFmtId="0" fontId="3" fillId="6" borderId="5" xfId="0" applyFont="1" applyFill="1" applyBorder="1"/>
    <xf numFmtId="0" fontId="3" fillId="5" borderId="5" xfId="0" applyFont="1" applyFill="1" applyBorder="1"/>
    <xf numFmtId="0" fontId="4" fillId="3" borderId="1" xfId="0" applyFont="1" applyFill="1" applyBorder="1"/>
    <xf numFmtId="3" fontId="6" fillId="6" borderId="1" xfId="0" applyNumberFormat="1" applyFont="1" applyFill="1" applyBorder="1" applyAlignment="1">
      <alignment horizontal="right"/>
    </xf>
    <xf numFmtId="0" fontId="3" fillId="6" borderId="1" xfId="0" applyFont="1" applyFill="1" applyBorder="1" applyAlignment="1">
      <alignment wrapText="1"/>
    </xf>
    <xf numFmtId="0" fontId="13" fillId="0" borderId="0" xfId="0" applyFont="1"/>
    <xf numFmtId="0" fontId="0" fillId="0" borderId="2" xfId="0" applyBorder="1" applyAlignment="1">
      <alignment horizontal="center" vertical="center" wrapText="1"/>
    </xf>
    <xf numFmtId="0" fontId="3" fillId="0" borderId="1" xfId="0" applyFont="1" applyBorder="1"/>
    <xf numFmtId="167" fontId="5" fillId="5" borderId="3" xfId="0" applyNumberFormat="1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right"/>
    </xf>
    <xf numFmtId="167" fontId="3" fillId="6" borderId="5" xfId="0" applyNumberFormat="1" applyFont="1" applyFill="1" applyBorder="1" applyAlignment="1">
      <alignment horizontal="right"/>
    </xf>
    <xf numFmtId="49" fontId="7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/>
    <xf numFmtId="0" fontId="0" fillId="0" borderId="0" xfId="0" applyFill="1"/>
    <xf numFmtId="14" fontId="14" fillId="0" borderId="0" xfId="2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left" wrapText="1"/>
    </xf>
    <xf numFmtId="0" fontId="3" fillId="6" borderId="6" xfId="0" applyFont="1" applyFill="1" applyBorder="1" applyAlignment="1">
      <alignment wrapText="1"/>
    </xf>
  </cellXfs>
  <cellStyles count="3">
    <cellStyle name="Hyperlink" xfId="2" builtinId="8"/>
    <cellStyle name="Normal" xfId="0" builtinId="0"/>
    <cellStyle name="Normal 3" xfId="1" xr:uid="{61EAC3A9-3D2A-4045-BA0B-754DAF8DBC5C}"/>
  </cellStyles>
  <dxfs count="13"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EDEDED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595959"/>
      </font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EDEDED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C6EFCE"/>
        </patternFill>
      </fill>
    </dxf>
  </dxfs>
  <tableStyles count="1" defaultTableStyle="TableStyleMedium2" defaultPivotStyle="PivotStyleLight16">
    <tableStyle name="Invisible" pivot="0" table="0" count="0" xr9:uid="{A8E57E16-3F8C-4E42-9C41-E0CF16F74B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5DC87B-EE41-AB40-A385-4B6CF6590D2E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91e5edbc-901f-4085-9f62-ff26468be9b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ransportdata.gov.lv/lv/card/978835ee-f55b-481c-9791-ba0395d3619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3F7D8-CF16-A847-8D8E-7BD88EC930F8}">
  <dimension ref="A1:L45"/>
  <sheetViews>
    <sheetView showGridLines="0" tabSelected="1" zoomScale="70" zoomScaleNormal="70" workbookViewId="0">
      <selection activeCell="I17" sqref="I17"/>
    </sheetView>
  </sheetViews>
  <sheetFormatPr baseColWidth="10" defaultColWidth="11" defaultRowHeight="16" x14ac:dyDescent="0.2"/>
  <cols>
    <col min="1" max="1" width="63.33203125" customWidth="1"/>
    <col min="2" max="5" width="14.1640625" customWidth="1"/>
    <col min="6" max="6" width="36.6640625" style="9" customWidth="1"/>
    <col min="7" max="8" width="15" customWidth="1"/>
    <col min="9" max="9" width="53.33203125" customWidth="1"/>
    <col min="10" max="11" width="14.1640625" style="9" customWidth="1"/>
    <col min="12" max="12" width="14.1640625" customWidth="1"/>
  </cols>
  <sheetData>
    <row r="1" spans="1:12" s="13" customFormat="1" ht="27" x14ac:dyDescent="0.35">
      <c r="A1" s="12" t="s">
        <v>0</v>
      </c>
      <c r="F1" s="14"/>
      <c r="J1" s="14"/>
      <c r="K1" s="14"/>
    </row>
    <row r="2" spans="1:12" x14ac:dyDescent="0.2">
      <c r="A2" s="1" t="s">
        <v>1</v>
      </c>
    </row>
    <row r="4" spans="1:12" x14ac:dyDescent="0.2">
      <c r="A4" s="5" t="s">
        <v>2</v>
      </c>
    </row>
    <row r="5" spans="1:12" ht="34" x14ac:dyDescent="0.2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6" t="s">
        <v>8</v>
      </c>
      <c r="G5" s="16" t="s">
        <v>9</v>
      </c>
      <c r="H5" s="16" t="s">
        <v>10</v>
      </c>
      <c r="I5" s="16" t="s">
        <v>11</v>
      </c>
      <c r="J5" s="16" t="s">
        <v>12</v>
      </c>
      <c r="K5" s="17" t="s">
        <v>13</v>
      </c>
      <c r="L5" s="17" t="s">
        <v>253</v>
      </c>
    </row>
    <row r="6" spans="1:12" x14ac:dyDescent="0.2">
      <c r="A6" s="73" t="s">
        <v>14</v>
      </c>
      <c r="B6" s="73"/>
      <c r="C6" s="73"/>
      <c r="D6" s="73"/>
      <c r="E6" s="73"/>
      <c r="F6" s="73"/>
      <c r="G6" s="18"/>
      <c r="H6" s="18"/>
      <c r="I6" s="19"/>
      <c r="J6" s="20"/>
      <c r="K6" s="21"/>
    </row>
    <row r="7" spans="1:12" ht="34" x14ac:dyDescent="0.2">
      <c r="A7" s="22" t="s">
        <v>15</v>
      </c>
      <c r="B7" s="23" t="s">
        <v>16</v>
      </c>
      <c r="C7" s="23" t="s">
        <v>17</v>
      </c>
      <c r="D7" s="23" t="s">
        <v>18</v>
      </c>
      <c r="E7" s="23" t="s">
        <v>19</v>
      </c>
      <c r="F7" s="24" t="s">
        <v>248</v>
      </c>
      <c r="G7" s="25">
        <f>'Rādītāji - vērtības'!M8</f>
        <v>424</v>
      </c>
      <c r="H7" s="25"/>
      <c r="I7" s="26" t="s">
        <v>20</v>
      </c>
      <c r="J7" s="27"/>
      <c r="K7" s="28"/>
    </row>
    <row r="8" spans="1:12" ht="34" x14ac:dyDescent="0.2">
      <c r="A8" s="22" t="s">
        <v>21</v>
      </c>
      <c r="B8" s="23" t="s">
        <v>22</v>
      </c>
      <c r="C8" s="23" t="s">
        <v>23</v>
      </c>
      <c r="D8" s="23" t="s">
        <v>24</v>
      </c>
      <c r="E8" s="23" t="s">
        <v>25</v>
      </c>
      <c r="F8" s="24" t="str">
        <f t="shared" ref="F8:F14" si="0">IF(H8="","Nav datu",IF(H8&gt;=1,"Sasniegts",IF(H8&gt;=L8-$B$45,"Atbilst trajektorijai",IF(H8&gt;0,"Atpaliek no trajektorijas","Nav progresa"))))</f>
        <v>Atbilst trajektorijai</v>
      </c>
      <c r="G8" s="29">
        <f>'Rādītāji - vērtības'!M9</f>
        <v>171992</v>
      </c>
      <c r="H8" s="30">
        <f t="shared" ref="H8:H14" si="1">IF(OR(G8="",J8="",K8=""),"",(G8-J8)/(K8-J8))</f>
        <v>0.68386342305626835</v>
      </c>
      <c r="I8" s="26" t="s">
        <v>26</v>
      </c>
      <c r="J8" s="31">
        <v>199243</v>
      </c>
      <c r="K8" s="32">
        <f>J8*(1-20%)</f>
        <v>159394.40000000002</v>
      </c>
      <c r="L8" s="69">
        <f t="shared" ref="L8:L14" si="2">IFERROR(($B$40-VALUE(LEFT(E8,4)))/($B$41-VALUE(LEFT(E8,4))),$B$43)</f>
        <v>0.54545454545454541</v>
      </c>
    </row>
    <row r="9" spans="1:12" ht="51" x14ac:dyDescent="0.2">
      <c r="A9" s="22" t="s">
        <v>27</v>
      </c>
      <c r="B9" s="23" t="s">
        <v>28</v>
      </c>
      <c r="C9" s="23" t="s">
        <v>23</v>
      </c>
      <c r="D9" s="23" t="s">
        <v>29</v>
      </c>
      <c r="E9" s="23" t="s">
        <v>25</v>
      </c>
      <c r="F9" s="33" t="str">
        <f t="shared" si="0"/>
        <v>Atpaliek no trajektorijas</v>
      </c>
      <c r="G9" s="34">
        <f>'Rādītāji - vērtības'!M40</f>
        <v>0.46850000000000003</v>
      </c>
      <c r="H9" s="30">
        <f t="shared" si="1"/>
        <v>0.2297101449275363</v>
      </c>
      <c r="I9" s="35" t="s">
        <v>30</v>
      </c>
      <c r="J9" s="36">
        <v>0.31</v>
      </c>
      <c r="K9" s="37">
        <v>1</v>
      </c>
      <c r="L9" s="69">
        <f t="shared" si="2"/>
        <v>0.54545454545454541</v>
      </c>
    </row>
    <row r="10" spans="1:12" ht="85" x14ac:dyDescent="0.2">
      <c r="A10" s="22" t="s">
        <v>31</v>
      </c>
      <c r="B10" s="23" t="s">
        <v>32</v>
      </c>
      <c r="C10" s="23" t="s">
        <v>23</v>
      </c>
      <c r="D10" s="23" t="s">
        <v>33</v>
      </c>
      <c r="E10" s="23" t="s">
        <v>25</v>
      </c>
      <c r="F10" s="33" t="str">
        <f t="shared" si="0"/>
        <v>Atpaliek no trajektorijas</v>
      </c>
      <c r="G10" s="30">
        <f>'Rādītāji - vērtības'!M78</f>
        <v>0.57599999999999996</v>
      </c>
      <c r="H10" s="30">
        <f t="shared" si="1"/>
        <v>7.0990359333917577E-2</v>
      </c>
      <c r="I10" s="35" t="str">
        <f>"Netiešs: AER īpatsvars elektroenerģijā Latvijā (Eurostat RES-E; palīgdati 'Rādītāji - vērtības' rindā 78; 2025 – provizoriski). Pašvaldība izmanto tīkla elektroenerģiju; bāzes 54,36% atbilst valsts līmeņa rādītājam. Pašvaldības ēkās kopā uzstādīti "&amp;SUBSTITUTE(TEXT('Rādītāji - vērtības'!M17,"0.0"),".",",")&amp;" kWp saules paneļu (rādītājs 1010, kumulatīvi līdz 2025)."</f>
        <v>Netiešs: AER īpatsvars elektroenerģijā Latvijā (Eurostat RES-E; palīgdati 'Rādītāji - vērtības' rindā 78; 2025 – provizoriski). Pašvaldība izmanto tīkla elektroenerģiju; bāzes 54,36% atbilst valsts līmeņa rādītājam. Pašvaldības ēkās kopā uzstādīti 659,3 kWp saules paneļu (rādītājs 1010, kumulatīvi līdz 2025).</v>
      </c>
      <c r="J10" s="38">
        <v>0.54359999999999997</v>
      </c>
      <c r="K10" s="39">
        <v>1</v>
      </c>
      <c r="L10" s="69">
        <f t="shared" si="2"/>
        <v>0.54545454545454541</v>
      </c>
    </row>
    <row r="11" spans="1:12" ht="34" x14ac:dyDescent="0.2">
      <c r="A11" s="22" t="s">
        <v>34</v>
      </c>
      <c r="B11" s="23" t="s">
        <v>35</v>
      </c>
      <c r="C11" s="23" t="s">
        <v>23</v>
      </c>
      <c r="D11" s="23" t="s">
        <v>252</v>
      </c>
      <c r="E11" s="23" t="s">
        <v>19</v>
      </c>
      <c r="F11" s="24" t="str">
        <f t="shared" si="0"/>
        <v>Atbilst trajektorijai</v>
      </c>
      <c r="G11" s="40">
        <f>'Rādītāji - vērtības'!M19</f>
        <v>0.39222810575334233</v>
      </c>
      <c r="H11" s="30">
        <f t="shared" si="1"/>
        <v>0.53183702663277999</v>
      </c>
      <c r="I11" s="26" t="s">
        <v>36</v>
      </c>
      <c r="J11" s="41">
        <v>0.497</v>
      </c>
      <c r="K11" s="42">
        <v>0.3</v>
      </c>
      <c r="L11" s="69">
        <f t="shared" si="2"/>
        <v>0.5</v>
      </c>
    </row>
    <row r="12" spans="1:12" ht="17" x14ac:dyDescent="0.2">
      <c r="A12" s="22" t="s">
        <v>37</v>
      </c>
      <c r="B12" s="23" t="s">
        <v>38</v>
      </c>
      <c r="C12" s="23" t="s">
        <v>39</v>
      </c>
      <c r="D12" s="23" t="s">
        <v>40</v>
      </c>
      <c r="E12" s="23" t="s">
        <v>25</v>
      </c>
      <c r="F12" s="24" t="str">
        <f t="shared" si="0"/>
        <v>Nav datu</v>
      </c>
      <c r="G12" s="25"/>
      <c r="H12" s="25" t="str">
        <f t="shared" si="1"/>
        <v/>
      </c>
      <c r="I12" s="26" t="s">
        <v>41</v>
      </c>
      <c r="J12" s="27"/>
      <c r="K12" s="28"/>
      <c r="L12" s="69">
        <f t="shared" si="2"/>
        <v>0.54545454545454541</v>
      </c>
    </row>
    <row r="13" spans="1:12" ht="51" x14ac:dyDescent="0.2">
      <c r="A13" s="22" t="s">
        <v>42</v>
      </c>
      <c r="B13" s="23" t="s">
        <v>28</v>
      </c>
      <c r="C13" s="23" t="s">
        <v>23</v>
      </c>
      <c r="D13" s="23" t="s">
        <v>33</v>
      </c>
      <c r="E13" s="23" t="s">
        <v>25</v>
      </c>
      <c r="F13" s="33" t="str">
        <f t="shared" si="0"/>
        <v>Atpaliek no trajektorijas</v>
      </c>
      <c r="G13" s="30">
        <f>'Rādītāji - vērtības'!M78</f>
        <v>0.57599999999999996</v>
      </c>
      <c r="H13" s="30">
        <f t="shared" si="1"/>
        <v>7.0990359333917577E-2</v>
      </c>
      <c r="I13" s="35" t="s">
        <v>43</v>
      </c>
      <c r="J13" s="38">
        <v>0.54359999999999997</v>
      </c>
      <c r="K13" s="39">
        <v>1</v>
      </c>
      <c r="L13" s="69">
        <f t="shared" si="2"/>
        <v>0.54545454545454541</v>
      </c>
    </row>
    <row r="14" spans="1:12" ht="51" x14ac:dyDescent="0.2">
      <c r="A14" s="22" t="s">
        <v>44</v>
      </c>
      <c r="B14" s="23" t="s">
        <v>32</v>
      </c>
      <c r="C14" s="23" t="s">
        <v>23</v>
      </c>
      <c r="D14" s="23" t="s">
        <v>45</v>
      </c>
      <c r="E14" s="23" t="s">
        <v>25</v>
      </c>
      <c r="F14" s="33" t="str">
        <f t="shared" si="0"/>
        <v>Atpaliek no trajektorijas</v>
      </c>
      <c r="G14" s="34">
        <f>'Rādītāji - vērtības'!M22</f>
        <v>0.11988911988911989</v>
      </c>
      <c r="H14" s="30">
        <f t="shared" si="1"/>
        <v>0.110999110999111</v>
      </c>
      <c r="I14" s="35" t="s">
        <v>46</v>
      </c>
      <c r="J14" s="36">
        <v>0.01</v>
      </c>
      <c r="K14" s="37">
        <v>1</v>
      </c>
      <c r="L14" s="69">
        <f t="shared" si="2"/>
        <v>0.54545454545454541</v>
      </c>
    </row>
    <row r="15" spans="1:12" x14ac:dyDescent="0.2">
      <c r="A15" s="72" t="s">
        <v>47</v>
      </c>
      <c r="B15" s="72"/>
      <c r="C15" s="72"/>
      <c r="D15" s="72"/>
      <c r="E15" s="72"/>
      <c r="F15" s="72"/>
      <c r="G15" s="43"/>
      <c r="H15" s="43"/>
      <c r="I15" s="44"/>
      <c r="J15" s="45"/>
      <c r="K15" s="46"/>
    </row>
    <row r="16" spans="1:12" ht="68" x14ac:dyDescent="0.2">
      <c r="A16" s="22" t="s">
        <v>48</v>
      </c>
      <c r="B16" s="23" t="s">
        <v>49</v>
      </c>
      <c r="C16" s="23" t="s">
        <v>23</v>
      </c>
      <c r="D16" s="23" t="s">
        <v>50</v>
      </c>
      <c r="E16" s="23" t="s">
        <v>25</v>
      </c>
      <c r="F16" s="24" t="str">
        <f>IF(H16="","Nav datu",IF(H16&gt;=1,"Sasniegts",IF(H16&gt;=L16-$B$45,"Atbilst trajektorijai",IF(H16&gt;0,"Atpaliek no trajektorijas","Nav progresa"))))</f>
        <v>Atpaliek no trajektorijas</v>
      </c>
      <c r="G16" s="29">
        <f>'Rādītāji - vērtības'!M33</f>
        <v>209</v>
      </c>
      <c r="H16" s="30">
        <f>IF(OR(G16="",J16="",K16=""),"",(G16-J16)/(K16-J16))</f>
        <v>2.7159152634437807E-2</v>
      </c>
      <c r="I16" s="26" t="s">
        <v>51</v>
      </c>
      <c r="J16" s="31">
        <v>159</v>
      </c>
      <c r="K16" s="32">
        <v>2000</v>
      </c>
      <c r="L16" s="69">
        <f>IFERROR(($B$40-VALUE(LEFT(E16,4)))/($B$41-VALUE(LEFT(E16,4))),$B$43)</f>
        <v>0.54545454545454541</v>
      </c>
    </row>
    <row r="17" spans="1:12" ht="85" x14ac:dyDescent="0.2">
      <c r="A17" s="22" t="s">
        <v>52</v>
      </c>
      <c r="B17" s="23" t="s">
        <v>22</v>
      </c>
      <c r="C17" s="23" t="s">
        <v>23</v>
      </c>
      <c r="D17" s="67" t="str">
        <f>SUBSTITUTE(TEXT(J17/1000,"#,##0"),","," ")&amp;" tūkst. MWh (2123 tūkst. MWh)"</f>
        <v>2 456 tūkst. MWh (2123 tūkst. MWh)</v>
      </c>
      <c r="E17" s="23" t="s">
        <v>19</v>
      </c>
      <c r="F17" s="24" t="str">
        <f>IF(H17="","Nav datu",IF(H17&gt;=1,"Sasniegts",IF(H17&gt;=L17-$B$45,"Atbilst trajektorijai",IF(H17&gt;0,"Atpaliek no trajektorijas","Nav progresa"))))</f>
        <v>Atbilst trajektorijai</v>
      </c>
      <c r="G17" s="29">
        <f>'Rādītāji - vērtības'!M30</f>
        <v>2245623</v>
      </c>
      <c r="H17" s="30">
        <f>IF(OR(G17="",J17="",K17=""),"",(G17-J17)/(K17-J17))</f>
        <v>0.42767571688203926</v>
      </c>
      <c r="I17" s="26" t="str">
        <f>"Rādītājs 2001 (siltumenerģijas patēriņš ar klimata korekciju). Bāze pārrēķināta ar klimata korekciju: "&amp;SUBSTITUTE(TEXT(J17,"#,##0"),","," ")&amp;" MWh (iepriekš 2123 tūkst. MWh bez korekcijas). 2025. g. patēriņš – "&amp;SUBSTITUTE(TEXT(G17,"#,##0"),","," ")&amp;" MWh ("&amp;SUBSTITUTE(TEXT(G17/J17-1,"0.0%"),".",",")&amp;" pret bāzi; mērķis −20%). Īpatnējais patēriņš (rādītājs 2002) samazinājies no "&amp;TEXT('Rādītāji - vērtības'!H31,"0")&amp;" līdz "&amp;TEXT('Rādītāji - vērtības'!M31,"0")&amp;" kWh/m2."</f>
        <v>Rādītājs 2001 (siltumenerģijas patēriņš ar klimata korekciju). Bāze pārrēķināta ar klimata korekciju: 2 455 669 MWh (iepriekš 2123 tūkst. MWh bez korekcijas). 2025. g. patēriņš – 2 245 623 MWh (-8,6% pret bāzi; mērķis −20%). Īpatnējais patēriņš (rādītājs 2002) samazinājies no 147 līdz 113 kWh/m2.</v>
      </c>
      <c r="J17" s="31">
        <f>'Rādītāji - vērtības'!H30</f>
        <v>2455669</v>
      </c>
      <c r="K17" s="32">
        <f>J17*(1-20%)</f>
        <v>1964535.2000000002</v>
      </c>
      <c r="L17" s="69">
        <f>IFERROR(($B$40-VALUE(LEFT(E17,4)))/($B$41-VALUE(LEFT(E17,4))),$B$43)</f>
        <v>0.5</v>
      </c>
    </row>
    <row r="18" spans="1:12" x14ac:dyDescent="0.2">
      <c r="A18" s="72" t="s">
        <v>53</v>
      </c>
      <c r="B18" s="72"/>
      <c r="C18" s="72"/>
      <c r="D18" s="72"/>
      <c r="E18" s="72"/>
      <c r="F18" s="72"/>
      <c r="G18" s="43"/>
      <c r="H18" s="43"/>
      <c r="I18" s="44"/>
      <c r="J18" s="45"/>
      <c r="K18" s="46"/>
    </row>
    <row r="19" spans="1:12" ht="17" x14ac:dyDescent="0.2">
      <c r="A19" s="22" t="s">
        <v>54</v>
      </c>
      <c r="B19" s="23" t="s">
        <v>55</v>
      </c>
      <c r="C19" s="23" t="s">
        <v>23</v>
      </c>
      <c r="D19" s="23" t="s">
        <v>29</v>
      </c>
      <c r="E19" s="23" t="s">
        <v>25</v>
      </c>
      <c r="F19" s="33" t="str">
        <f>IF(H19="","Nav datu",IF(H19&gt;=1,"Sasniegts",IF(H19&gt;=L19-$B$45,"Atbilst trajektorijai",IF(H19&gt;0,"Atpaliek no trajektorijas","Nav progresa"))))</f>
        <v>Atbilst trajektorijai</v>
      </c>
      <c r="G19" s="34">
        <f>'Rādītāji - vērtības'!M40</f>
        <v>0.46850000000000003</v>
      </c>
      <c r="H19" s="30">
        <f>IF(OR(G19="",J19="",K19=""),"",(G19-J19)/(K19-J19))</f>
        <v>0.4528571428571429</v>
      </c>
      <c r="I19" s="35" t="s">
        <v>56</v>
      </c>
      <c r="J19" s="36">
        <v>0.31</v>
      </c>
      <c r="K19" s="37">
        <v>0.66</v>
      </c>
      <c r="L19" s="69">
        <f>IFERROR(($B$40-VALUE(LEFT(E19,4)))/($B$41-VALUE(LEFT(E19,4))),$B$43)</f>
        <v>0.54545454545454541</v>
      </c>
    </row>
    <row r="20" spans="1:12" ht="85" x14ac:dyDescent="0.2">
      <c r="A20" s="22" t="s">
        <v>57</v>
      </c>
      <c r="B20" s="23" t="s">
        <v>58</v>
      </c>
      <c r="C20" s="23" t="s">
        <v>23</v>
      </c>
      <c r="D20" s="23" t="s">
        <v>59</v>
      </c>
      <c r="E20" s="23" t="s">
        <v>25</v>
      </c>
      <c r="F20" s="24" t="s">
        <v>60</v>
      </c>
      <c r="G20" s="47">
        <v>0.1249</v>
      </c>
      <c r="H20" s="25" t="s">
        <v>61</v>
      </c>
      <c r="I20" s="26" t="s">
        <v>62</v>
      </c>
      <c r="J20" s="36">
        <v>0.11700000000000001</v>
      </c>
      <c r="K20" s="37">
        <v>0.11600000000000001</v>
      </c>
    </row>
    <row r="21" spans="1:12" x14ac:dyDescent="0.2">
      <c r="A21" s="72" t="s">
        <v>63</v>
      </c>
      <c r="B21" s="72"/>
      <c r="C21" s="72"/>
      <c r="D21" s="72"/>
      <c r="E21" s="72"/>
      <c r="F21" s="72"/>
      <c r="G21" s="43"/>
      <c r="H21" s="43"/>
      <c r="I21" s="44"/>
      <c r="J21" s="45"/>
      <c r="K21" s="46"/>
    </row>
    <row r="22" spans="1:12" ht="119" x14ac:dyDescent="0.2">
      <c r="A22" s="22" t="s">
        <v>64</v>
      </c>
      <c r="B22" s="23" t="s">
        <v>65</v>
      </c>
      <c r="C22" s="23" t="s">
        <v>23</v>
      </c>
      <c r="D22" s="23" t="str">
        <f>SUBSTITUTE(TEXT(J22*100,"0.0"),".",",")&amp;"% (44%)"</f>
        <v>49,9% (44%)</v>
      </c>
      <c r="E22" s="23" t="s">
        <v>19</v>
      </c>
      <c r="F22" s="24" t="str">
        <f>IF(H22="","Nav datu",IF(H22&gt;=1,"Sasniegts",IF(H22&gt;=L22-$B$45,"Atbilst trajektorijai",IF(H22&gt;0,"Atpaliek no trajektorijas","Nav progresa"))))</f>
        <v>Atbilst trajektorijai</v>
      </c>
      <c r="G22" s="34">
        <f>'Rādītāji - vērtības'!M44</f>
        <v>0.42720000000000002</v>
      </c>
      <c r="H22" s="30">
        <f>IF(OR(G22="",J22="",K22=""),"",(G22-J22)/(K22-J22))</f>
        <v>0.72441742654508601</v>
      </c>
      <c r="I22" s="26" t="str">
        <f>"Rādītājs 3006 (decentralizētā kurināmā patēriņš / kopējais siltumenerģijas galapatēriņš; SEG inventarizācija, Kopā_2025 rinda 67 / rinda 24). 2025. g. – "&amp;SUBSTITUTE(TEXT(G22*100,"0.0"),".",",")&amp;"%. Bāze atšķiras no SECAP: SECAP bāzi 44% (2019) nevar atkārtot ar inventarizācijas datiem, tāpēc progress mērīts pret 2020. g. vērtību, kas aprēķināta pēc tās pašas metodes ("&amp;SUBSTITUTE(TEXT(J22*100,"0.0"),".",",")&amp;"%). Mērķis 40% nav mainīts."</f>
        <v>Rādītājs 3006 (decentralizētā kurināmā patēriņš / kopējais siltumenerģijas galapatēriņš; SEG inventarizācija, Kopā_2025 rinda 67 / rinda 24). 2025. g. – 42,7%. Bāze atšķiras no SECAP: SECAP bāzi 44% (2019) nevar atkārtot ar inventarizācijas datiem, tāpēc progress mērīts pret 2020. g. vērtību, kas aprēķināta pēc tās pašas metodes (49,9%). Mērķis 40% nav mainīts.</v>
      </c>
      <c r="J22" s="36">
        <f>'Rādītāji - vērtības'!H44</f>
        <v>0.49869999999999998</v>
      </c>
      <c r="K22" s="37">
        <v>0.4</v>
      </c>
      <c r="L22" s="69">
        <f>IFERROR(($B$40-VALUE(LEFT(E22,4)))/($B$41-VALUE(LEFT(E22,4))),$B$43)</f>
        <v>0.5</v>
      </c>
    </row>
    <row r="23" spans="1:12" ht="119" x14ac:dyDescent="0.2">
      <c r="A23" s="22" t="s">
        <v>66</v>
      </c>
      <c r="B23" s="23" t="s">
        <v>67</v>
      </c>
      <c r="C23" s="23" t="s">
        <v>23</v>
      </c>
      <c r="D23" s="23" t="str">
        <f>SUBSTITUTE(TEXT(J23*100,"0.0"),".",",")&amp;"% (42%)"</f>
        <v>41,8% (42%)</v>
      </c>
      <c r="E23" s="23" t="s">
        <v>19</v>
      </c>
      <c r="F23" s="24" t="str">
        <f>IF(H23="","Nav datu",IF(H23&gt;=1,"Sasniegts",IF(H23&gt;=L23-$B$45,"Atbilst trajektorijai",IF(H23&gt;0,"Atpaliek no trajektorijas","Nav progresa"))))</f>
        <v>Nav progresa</v>
      </c>
      <c r="G23" s="34">
        <f>'Rādītāji - vērtības'!M45</f>
        <v>0.34229999999999999</v>
      </c>
      <c r="H23" s="30">
        <f>IF(OR(G23="",J23="",K23=""),"",(G23-J23)/(K23-J23))</f>
        <v>-0.41749174917491771</v>
      </c>
      <c r="I23" s="26" t="str">
        <f>"Rādītājs 3007 (AER – biomasa ārpus CSS un mājsaimniecību AER – īpatsvars decentralizētā kurināmā patēriņā; SEG inventarizācija). 2025. g. – "&amp;SUBSTITUTE(TEXT(G23*100,"0.0"),".",",")&amp;"%. Bāze atšķiras no SECAP: progress mērīts pret 2020. g. vērtību pēc inventarizācijas ("&amp;SUBSTITUTE(TEXT(J23*100,"0.0"),".",",")&amp;"%; SECAP 42%, 2019). Gada vērtības svārstās (34–43%), jo mainās biomasas sadalījums starp CSS un decentralizēto apgādi."</f>
        <v>Rādītājs 3007 (AER – biomasa ārpus CSS un mājsaimniecību AER – īpatsvars decentralizētā kurināmā patēriņā; SEG inventarizācija). 2025. g. – 34,2%. Bāze atšķiras no SECAP: progress mērīts pret 2020. g. vērtību pēc inventarizācijas (41,8%; SECAP 42%, 2019). Gada vērtības svārstās (34–43%), jo mainās biomasas sadalījums starp CSS un decentralizēto apgādi.</v>
      </c>
      <c r="J23" s="36">
        <f>'Rādītāji - vērtības'!H45</f>
        <v>0.41820000000000002</v>
      </c>
      <c r="K23" s="37">
        <v>0.6</v>
      </c>
      <c r="L23" s="69">
        <f>IFERROR(($B$40-VALUE(LEFT(E23,4)))/($B$41-VALUE(LEFT(E23,4))),$B$43)</f>
        <v>0.5</v>
      </c>
    </row>
    <row r="24" spans="1:12" ht="51" x14ac:dyDescent="0.2">
      <c r="A24" s="22" t="s">
        <v>68</v>
      </c>
      <c r="B24" s="23" t="s">
        <v>69</v>
      </c>
      <c r="C24" s="23" t="s">
        <v>23</v>
      </c>
      <c r="D24" s="23" t="s">
        <v>70</v>
      </c>
      <c r="E24" s="23" t="s">
        <v>19</v>
      </c>
      <c r="F24" s="24" t="str">
        <f>IF(H24="","Nav datu",IF(H24&gt;=1,"Sasniegts",IF(H24&gt;=L24-$B$45,"Atbilst trajektorijai",IF(H24&gt;0,"Atpaliek no trajektorijas","Nav progresa"))))</f>
        <v>Atbilst trajektorijai</v>
      </c>
      <c r="G24" s="29">
        <f>'Rādītāji - vērtības'!M43</f>
        <v>2516.877</v>
      </c>
      <c r="H24" s="30">
        <f>IF(OR(G24="",J24="",K24=""),"",(G24-J24)/(K24-J24))</f>
        <v>0.90929692767023007</v>
      </c>
      <c r="I24" s="26" t="s">
        <v>71</v>
      </c>
      <c r="J24" s="31">
        <f>'Rādītāji - vērtības'!H43</f>
        <v>3461</v>
      </c>
      <c r="K24" s="32">
        <f>J24*(1-30%)</f>
        <v>2422.6999999999998</v>
      </c>
      <c r="L24" s="69">
        <f>IFERROR(($B$40-VALUE(LEFT(E24,4)))/($B$41-VALUE(LEFT(E24,4))),$B$43)</f>
        <v>0.5</v>
      </c>
    </row>
    <row r="25" spans="1:12" x14ac:dyDescent="0.2">
      <c r="A25" s="72" t="s">
        <v>72</v>
      </c>
      <c r="B25" s="72"/>
      <c r="C25" s="72"/>
      <c r="D25" s="72"/>
      <c r="E25" s="72"/>
      <c r="F25" s="72"/>
      <c r="G25" s="43"/>
      <c r="H25" s="43"/>
      <c r="I25" s="44"/>
      <c r="J25" s="45"/>
      <c r="K25" s="46"/>
    </row>
    <row r="26" spans="1:12" ht="17" x14ac:dyDescent="0.2">
      <c r="A26" s="22" t="s">
        <v>73</v>
      </c>
      <c r="B26" s="23" t="s">
        <v>74</v>
      </c>
      <c r="C26" s="23" t="s">
        <v>23</v>
      </c>
      <c r="D26" s="23" t="s">
        <v>75</v>
      </c>
      <c r="E26" s="23" t="s">
        <v>25</v>
      </c>
      <c r="F26" s="24" t="str">
        <f>IF(H26="","Nav datu",IF(H26&gt;=1,"Sasniegts",IF(H26&gt;=L26-$B$45,"Atbilst trajektorijai",IF(H26&gt;0,"Atpaliek no trajektorijas","Nav progresa"))))</f>
        <v>Atpaliek no trajektorijas</v>
      </c>
      <c r="G26" s="34">
        <f>'Rādītāji - vērtības'!M47</f>
        <v>6.7000000000000004E-2</v>
      </c>
      <c r="H26" s="30">
        <f>IF(OR(G26="",J26="",K26=""),"",(G26-J26)/(K26-J26))</f>
        <v>0.24545454545454551</v>
      </c>
      <c r="I26" s="26" t="s">
        <v>249</v>
      </c>
      <c r="J26" s="36">
        <v>0.04</v>
      </c>
      <c r="K26" s="37">
        <v>0.15</v>
      </c>
      <c r="L26" s="69">
        <f>IFERROR(($B$40-VALUE(LEFT(E26,4)))/($B$41-VALUE(LEFT(E26,4))),$B$43)</f>
        <v>0.54545454545454541</v>
      </c>
    </row>
    <row r="27" spans="1:12" x14ac:dyDescent="0.2">
      <c r="A27" s="72" t="s">
        <v>76</v>
      </c>
      <c r="B27" s="72"/>
      <c r="C27" s="72"/>
      <c r="D27" s="72"/>
      <c r="E27" s="72"/>
      <c r="F27" s="72"/>
      <c r="G27" s="43"/>
      <c r="H27" s="43"/>
      <c r="I27" s="44"/>
      <c r="J27" s="45"/>
      <c r="K27" s="46"/>
    </row>
    <row r="28" spans="1:12" ht="17" x14ac:dyDescent="0.2">
      <c r="A28" s="22" t="s">
        <v>77</v>
      </c>
      <c r="B28" s="23" t="s">
        <v>78</v>
      </c>
      <c r="C28" s="23" t="s">
        <v>23</v>
      </c>
      <c r="D28" s="23" t="s">
        <v>79</v>
      </c>
      <c r="E28" s="23" t="s">
        <v>25</v>
      </c>
      <c r="F28" s="24" t="str">
        <f>IF(H28="","Nav datu",IF(H28&gt;=1,"Sasniegts",IF(H28&gt;=L28-$B$45,"Atbilst trajektorijai",IF(H28&gt;0,"Atpaliek no trajektorijas","Nav progresa"))))</f>
        <v>Atbilst trajektorijai</v>
      </c>
      <c r="G28" s="34">
        <f>'Rādītāji - vērtības'!M62</f>
        <v>0.35446546884500002</v>
      </c>
      <c r="H28" s="30">
        <f>IF(OR(G28="",J28="",K28=""),"",(G28-J28)/(K28-J28))</f>
        <v>0.57195726130882363</v>
      </c>
      <c r="I28" s="26" t="s">
        <v>251</v>
      </c>
      <c r="J28" s="36">
        <v>0.16</v>
      </c>
      <c r="K28" s="37">
        <v>0.5</v>
      </c>
      <c r="L28" s="69">
        <f>IFERROR(($B$40-VALUE(LEFT(E28,4)))/($B$41-VALUE(LEFT(E28,4))),$B$43)</f>
        <v>0.54545454545454541</v>
      </c>
    </row>
    <row r="29" spans="1:12" ht="17" x14ac:dyDescent="0.2">
      <c r="A29" s="22" t="s">
        <v>80</v>
      </c>
      <c r="B29" s="23" t="s">
        <v>81</v>
      </c>
      <c r="C29" s="23" t="s">
        <v>23</v>
      </c>
      <c r="D29" s="23" t="s">
        <v>82</v>
      </c>
      <c r="E29" s="23" t="s">
        <v>25</v>
      </c>
      <c r="F29" s="24" t="str">
        <f>IF(H29="","Nav datu",IF(H29&gt;=1,"Sasniegts",IF(H29&gt;=L29-$B$45,"Atbilst trajektorijai",IF(H29&gt;0,"Atpaliek no trajektorijas","Nav progresa"))))</f>
        <v>Nav datu</v>
      </c>
      <c r="G29" s="25"/>
      <c r="H29" s="25" t="str">
        <f>IF(OR(G29="",J29="",K29=""),"",(G29-J29)/(K29-J29))</f>
        <v/>
      </c>
      <c r="I29" s="26" t="s">
        <v>83</v>
      </c>
      <c r="J29" s="27"/>
      <c r="K29" s="28"/>
      <c r="L29" s="69">
        <f>IFERROR(($B$40-VALUE(LEFT(E29,4)))/($B$41-VALUE(LEFT(E29,4))),$B$43)</f>
        <v>0.54545454545454541</v>
      </c>
    </row>
    <row r="30" spans="1:12" x14ac:dyDescent="0.2">
      <c r="A30" s="48"/>
      <c r="B30" s="48"/>
      <c r="C30" s="48"/>
      <c r="D30" s="48"/>
      <c r="E30" s="48"/>
      <c r="F30" s="49"/>
      <c r="G30" s="48"/>
      <c r="H30" s="48"/>
      <c r="I30" s="48"/>
      <c r="J30" s="50"/>
      <c r="K30" s="50"/>
    </row>
    <row r="31" spans="1:12" x14ac:dyDescent="0.2">
      <c r="F31" s="10"/>
    </row>
    <row r="32" spans="1:12" x14ac:dyDescent="0.2">
      <c r="A32" s="5" t="s">
        <v>84</v>
      </c>
      <c r="F32" s="10"/>
    </row>
    <row r="33" spans="1:12" ht="34" x14ac:dyDescent="0.2">
      <c r="A33" s="15" t="s">
        <v>3</v>
      </c>
      <c r="B33" s="15" t="s">
        <v>4</v>
      </c>
      <c r="C33" s="15" t="s">
        <v>5</v>
      </c>
      <c r="D33" s="15" t="s">
        <v>6</v>
      </c>
      <c r="E33" s="15" t="s">
        <v>7</v>
      </c>
      <c r="F33" s="16" t="s">
        <v>8</v>
      </c>
      <c r="G33" s="16" t="s">
        <v>9</v>
      </c>
      <c r="H33" s="16" t="s">
        <v>10</v>
      </c>
      <c r="I33" s="16" t="s">
        <v>11</v>
      </c>
      <c r="J33" s="16" t="s">
        <v>12</v>
      </c>
      <c r="K33" s="17" t="s">
        <v>13</v>
      </c>
      <c r="L33" s="17" t="s">
        <v>253</v>
      </c>
    </row>
    <row r="34" spans="1:12" ht="64" customHeight="1" x14ac:dyDescent="0.2">
      <c r="A34" s="22" t="s">
        <v>85</v>
      </c>
      <c r="B34" s="23" t="s">
        <v>86</v>
      </c>
      <c r="C34" s="23" t="s">
        <v>23</v>
      </c>
      <c r="D34" s="23" t="s">
        <v>87</v>
      </c>
      <c r="E34" s="23" t="s">
        <v>88</v>
      </c>
      <c r="F34" s="24" t="str">
        <f>IF(H34="","Nav datu",IF(H34&gt;=1,"Sasniegts",IF(H34&gt;=L34-$B$45,"Atbilst trajektorijai",IF(H34&gt;0,"Atpaliek no trajektorijas","Nav progresa"))))</f>
        <v>Atpaliek no trajektorijas</v>
      </c>
      <c r="G34" s="34">
        <f>'Rādītāji - vērtības'!M70</f>
        <v>-9.6442111330498292E-2</v>
      </c>
      <c r="H34" s="30">
        <f>IF(OR(G34="",J34="",K34=""),"",(G34-J34)/(K34-J34))</f>
        <v>0.32147370443499435</v>
      </c>
      <c r="I34" s="26" t="str">
        <f>"Pret 2019. g.: "&amp;SUBSTITUTE(TEXT(G34,"+0.0%;-0.0%"),".",",")&amp;" (mērķis -30%). Pret 1990. g.: "&amp;SUBSTITUTE(TEXT('Rādītāji - vērtības'!M69,"+0.0%;-0.0%"),".",",")&amp;" (mērķis -70%). Rādītāji 5002–5003."</f>
        <v>Pret 2019. g.: -9,6% (mērķis -30%). Pret 1990. g.: -63,3% (mērķis -70%). Rādītāji 5002–5003.</v>
      </c>
      <c r="J34" s="36">
        <v>0</v>
      </c>
      <c r="K34" s="37">
        <v>-0.3</v>
      </c>
      <c r="L34" s="69">
        <f>IFERROR(($B$40-VALUE(LEFT(E34,4)))/($B$41-VALUE(LEFT(E34,4))),$B$43)</f>
        <v>0.54545454545454541</v>
      </c>
    </row>
    <row r="35" spans="1:12" ht="64" customHeight="1" x14ac:dyDescent="0.2">
      <c r="A35" s="22" t="s">
        <v>89</v>
      </c>
      <c r="B35" s="23" t="s">
        <v>90</v>
      </c>
      <c r="C35" s="23" t="s">
        <v>23</v>
      </c>
      <c r="D35" s="23" t="s">
        <v>91</v>
      </c>
      <c r="E35" s="23" t="s">
        <v>88</v>
      </c>
      <c r="F35" s="24" t="str">
        <f>IF(H35="","Nav datu",IF(H35&gt;=1,"Sasniegts",IF(H35&gt;=L35-$B$45,"Atbilst trajektorijai",IF(H35&gt;0,"Atpaliek no trajektorijas","Nav progresa"))))</f>
        <v>Atpaliek no trajektorijas</v>
      </c>
      <c r="G35" s="34">
        <f>'Rādītāji - vērtības'!M72</f>
        <v>-0.12606547959071535</v>
      </c>
      <c r="H35" s="30">
        <f>IF(OR(G35="",J35="",K35=""),"",(G35-J35)/(K35-J35))</f>
        <v>0.42021826530238449</v>
      </c>
      <c r="I35" s="26" t="str">
        <f>"Pret 2019. g.: "&amp;SUBSTITUTE(TEXT(G35,"+0.0%;-0.0%"),".",",")&amp;" (mērķis -30%). Pret 1990. g.: "&amp;SUBSTITUTE(TEXT('Rādītāji - vērtības'!M71,"+0.0%;-0.0%"),".",",")&amp;" (mērķis -51%). *Bāze 2019 = 934 kt pēc SEG inventarizācijas (CSS 386 + elektroenerģija 247 + kurināmais 301 kt); SECAP 4.2. tabulā norādīts 914 kt, kas neatbilst inventarizācijas datiem. Rādītāji 5004–5005."</f>
        <v>Pret 2019. g.: -12,6% (mērķis -30%). Pret 1990. g.: -41,7% (mērķis -51%). *Bāze 2019 = 934 kt pēc SEG inventarizācijas (CSS 386 + elektroenerģija 247 + kurināmais 301 kt); SECAP 4.2. tabulā norādīts 914 kt, kas neatbilst inventarizācijas datiem. Rādītāji 5004–5005.</v>
      </c>
      <c r="J35" s="36">
        <v>0</v>
      </c>
      <c r="K35" s="37">
        <v>-0.3</v>
      </c>
      <c r="L35" s="69">
        <f>IFERROR(($B$40-VALUE(LEFT(E35,4)))/($B$41-VALUE(LEFT(E35,4))),$B$43)</f>
        <v>0.54545454545454541</v>
      </c>
    </row>
    <row r="36" spans="1:12" ht="62" customHeight="1" x14ac:dyDescent="0.2">
      <c r="A36" s="22" t="s">
        <v>92</v>
      </c>
      <c r="B36" s="23" t="s">
        <v>93</v>
      </c>
      <c r="C36" s="23" t="s">
        <v>23</v>
      </c>
      <c r="D36" s="23" t="s">
        <v>94</v>
      </c>
      <c r="E36" s="23" t="s">
        <v>88</v>
      </c>
      <c r="F36" s="24" t="str">
        <f>IF(H36="","Nav datu",IF(H36&gt;=1,"Sasniegts",IF(H36&gt;=L36-$B$45,"Atbilst trajektorijai",IF(H36&gt;0,"Atpaliek no trajektorijas","Nav progresa"))))</f>
        <v>Atpaliek no trajektorijas</v>
      </c>
      <c r="G36" s="34">
        <f>'Rādītāji - vērtības'!M74</f>
        <v>-6.2199257425742505E-2</v>
      </c>
      <c r="H36" s="30">
        <f>IF(OR(G36="",J36="",K36=""),"",(G36-J36)/(K36-J36))</f>
        <v>0.20733085808580837</v>
      </c>
      <c r="I36" s="26" t="str">
        <f>"Pret 2019. g.: "&amp;SUBSTITUTE(TEXT(G36,"+0.0%;-0.0%"),".",",")&amp;" (mērķis -30%). Pret 1990. g.: "&amp;SUBSTITUTE(TEXT('Rādītāji - vērtības'!M73,"+0.0%;-0.0%"),".",",")&amp;" (pieļaujams +21,5%). *Bāze 2019 = 808 kt pēc SEG inventarizācijas (2019. g. dati no iepriekšējā rīcības plāna monitoringa ziņojuma); SECAP 4.2. tabulā norādīts 729 kt. Rādītāji 5006–5007."</f>
        <v>Pret 2019. g.: -6,2% (mērķis -30%). Pret 1990. g.: +26,3% (pieļaujams +21,5%). *Bāze 2019 = 808 kt pēc SEG inventarizācijas (2019. g. dati no iepriekšējā rīcības plāna monitoringa ziņojuma); SECAP 4.2. tabulā norādīts 729 kt. Rādītāji 5006–5007.</v>
      </c>
      <c r="J36" s="36">
        <v>0</v>
      </c>
      <c r="K36" s="37">
        <v>-0.3</v>
      </c>
      <c r="L36" s="69">
        <f>IFERROR(($B$40-VALUE(LEFT(E36,4)))/($B$41-VALUE(LEFT(E36,4))),$B$43)</f>
        <v>0.54545454545454541</v>
      </c>
    </row>
    <row r="37" spans="1:12" ht="59" customHeight="1" x14ac:dyDescent="0.2">
      <c r="A37" s="22" t="s">
        <v>95</v>
      </c>
      <c r="B37" s="23" t="s">
        <v>96</v>
      </c>
      <c r="C37" s="23" t="s">
        <v>23</v>
      </c>
      <c r="D37" s="23" t="s">
        <v>97</v>
      </c>
      <c r="E37" s="23" t="s">
        <v>25</v>
      </c>
      <c r="F37" s="24" t="str">
        <f>IF(H37="","Nav datu",IF(H37&gt;=1,"Sasniegts",IF(H37&gt;=L37-$B$45,"Atbilst trajektorijai",IF(H37&gt;0,"Atpaliek no trajektorijas","Nav progresa"))))</f>
        <v>Atpaliek no trajektorijas</v>
      </c>
      <c r="G37" s="34">
        <f>'Rādītāji - vērtības'!M75</f>
        <v>-0.27310524482854304</v>
      </c>
      <c r="H37" s="30">
        <f>IF(OR(G37="",J37="",K37=""),"",(G37-J37)/(K37-J37))</f>
        <v>0.27310524482854304</v>
      </c>
      <c r="I37" s="26" t="str">
        <f>"Pret 2019. g.: "&amp;SUBSTITUTE(TEXT(G37,"+0.0%;-0.0%"),".",",")&amp;" (mērķis -100%). Rādītājs 5008 (bāze 37,9 kt, ietverot ūdensapgādi)."</f>
        <v>Pret 2019. g.: -27,3% (mērķis -100%). Rādītājs 5008 (bāze 37,9 kt, ietverot ūdensapgādi).</v>
      </c>
      <c r="J37" s="36">
        <v>0</v>
      </c>
      <c r="K37" s="37">
        <v>-1</v>
      </c>
      <c r="L37" s="69">
        <f>IFERROR(($B$40-VALUE(LEFT(E37,4)))/($B$41-VALUE(LEFT(E37,4))),$B$43)</f>
        <v>0.54545454545454541</v>
      </c>
    </row>
    <row r="38" spans="1:12" x14ac:dyDescent="0.2">
      <c r="A38" s="48"/>
      <c r="B38" s="48"/>
      <c r="C38" s="48"/>
      <c r="D38" s="48"/>
      <c r="E38" s="48"/>
      <c r="F38" s="50"/>
      <c r="G38" s="48"/>
      <c r="H38" s="48"/>
      <c r="I38" s="48"/>
      <c r="J38" s="50"/>
      <c r="K38" s="50"/>
    </row>
    <row r="39" spans="1:12" x14ac:dyDescent="0.2">
      <c r="A39" s="7" t="s">
        <v>98</v>
      </c>
    </row>
    <row r="40" spans="1:12" x14ac:dyDescent="0.2">
      <c r="A40" t="s">
        <v>99</v>
      </c>
      <c r="B40" s="8">
        <v>2025</v>
      </c>
    </row>
    <row r="41" spans="1:12" x14ac:dyDescent="0.2">
      <c r="A41" t="s">
        <v>5</v>
      </c>
      <c r="B41" s="8">
        <v>2030</v>
      </c>
    </row>
    <row r="42" spans="1:12" x14ac:dyDescent="0.2">
      <c r="A42" t="s">
        <v>7</v>
      </c>
      <c r="B42" s="8">
        <v>2019</v>
      </c>
      <c r="C42" t="s">
        <v>100</v>
      </c>
    </row>
    <row r="43" spans="1:12" x14ac:dyDescent="0.2">
      <c r="A43" t="s">
        <v>254</v>
      </c>
      <c r="B43" s="6">
        <f>(B40-B42)/(B41-B42)</f>
        <v>0.54545454545454541</v>
      </c>
    </row>
    <row r="44" spans="1:12" x14ac:dyDescent="0.2">
      <c r="A44" t="s">
        <v>255</v>
      </c>
    </row>
    <row r="45" spans="1:12" x14ac:dyDescent="0.2">
      <c r="A45" t="s">
        <v>101</v>
      </c>
      <c r="B45" s="11">
        <v>0.1</v>
      </c>
    </row>
  </sheetData>
  <mergeCells count="6">
    <mergeCell ref="A27:F27"/>
    <mergeCell ref="A6:F6"/>
    <mergeCell ref="A15:F15"/>
    <mergeCell ref="A18:F18"/>
    <mergeCell ref="A21:F21"/>
    <mergeCell ref="A25:F25"/>
  </mergeCells>
  <conditionalFormatting sqref="F7:F29">
    <cfRule type="containsText" dxfId="12" priority="2" operator="containsText" text="Sasniegts">
      <formula>NOT(ISERROR(SEARCH("Sasniegts",F7)))</formula>
    </cfRule>
    <cfRule type="containsText" dxfId="11" priority="3" operator="containsText" text="Atbilst trajektorijai">
      <formula>NOT(ISERROR(SEARCH("Atbilst trajektorijai",F7)))</formula>
    </cfRule>
    <cfRule type="containsText" dxfId="10" priority="4" operator="containsText" text="Atpaliek no trajektorijas">
      <formula>NOT(ISERROR(SEARCH("Atpaliek no trajektorijas",F7)))</formula>
    </cfRule>
    <cfRule type="containsText" dxfId="9" priority="5" operator="containsText" text="Nav progresa">
      <formula>NOT(ISERROR(SEARCH("Nav progresa",F7)))</formula>
    </cfRule>
    <cfRule type="containsText" dxfId="8" priority="6" operator="containsText" text="Nav datu">
      <formula>NOT(ISERROR(SEARCH("Nav datu",F7)))</formula>
    </cfRule>
    <cfRule type="containsText" dxfId="7" priority="7" operator="containsText" text="izpildīts">
      <formula>NOT(ISERROR(SEARCH("izpildīts",F7)))</formula>
    </cfRule>
  </conditionalFormatting>
  <conditionalFormatting sqref="F20">
    <cfRule type="expression" dxfId="6" priority="1" stopIfTrue="1">
      <formula>TRUE</formula>
    </cfRule>
  </conditionalFormatting>
  <conditionalFormatting sqref="F34:F37">
    <cfRule type="containsText" dxfId="5" priority="8" operator="containsText" text="Sasniegts">
      <formula>NOT(ISERROR(SEARCH("Sasniegts",F34)))</formula>
    </cfRule>
    <cfRule type="containsText" dxfId="4" priority="9" operator="containsText" text="Atbilst trajektorijai">
      <formula>NOT(ISERROR(SEARCH("Atbilst trajektorijai",F34)))</formula>
    </cfRule>
    <cfRule type="containsText" dxfId="3" priority="10" operator="containsText" text="Atpaliek no trajektorijas">
      <formula>NOT(ISERROR(SEARCH("Atpaliek no trajektorijas",F34)))</formula>
    </cfRule>
    <cfRule type="containsText" dxfId="2" priority="11" operator="containsText" text="Nav progresa">
      <formula>NOT(ISERROR(SEARCH("Nav progresa",F34)))</formula>
    </cfRule>
    <cfRule type="containsText" dxfId="1" priority="12" operator="containsText" text="Nav datu">
      <formula>NOT(ISERROR(SEARCH("Nav datu",F34)))</formula>
    </cfRule>
    <cfRule type="containsText" dxfId="0" priority="13" operator="containsText" text="izpildīts">
      <formula>NOT(ISERROR(SEARCH("izpildīts",F34)))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A694-7B35-E744-B5B2-FB844534C219}">
  <dimension ref="B6:U78"/>
  <sheetViews>
    <sheetView topLeftCell="A5" zoomScaleNormal="100" workbookViewId="0">
      <selection activeCell="D38" sqref="D38"/>
    </sheetView>
  </sheetViews>
  <sheetFormatPr baseColWidth="10" defaultColWidth="11" defaultRowHeight="16" x14ac:dyDescent="0.2"/>
  <cols>
    <col min="3" max="3" width="62.83203125" customWidth="1"/>
    <col min="4" max="4" width="19.83203125" customWidth="1"/>
    <col min="5" max="5" width="21.6640625" customWidth="1"/>
    <col min="6" max="6" width="18.83203125" customWidth="1"/>
  </cols>
  <sheetData>
    <row r="6" spans="2:13" ht="17" x14ac:dyDescent="0.2">
      <c r="B6" s="56"/>
      <c r="C6" s="56" t="s">
        <v>102</v>
      </c>
      <c r="D6" s="56" t="s">
        <v>103</v>
      </c>
      <c r="E6" s="56" t="s">
        <v>104</v>
      </c>
      <c r="F6" s="56" t="s">
        <v>105</v>
      </c>
      <c r="G6" s="57"/>
      <c r="H6" s="56">
        <v>2020</v>
      </c>
      <c r="I6" s="56">
        <v>2021</v>
      </c>
      <c r="J6" s="56">
        <v>2022</v>
      </c>
      <c r="K6" s="56">
        <v>2023</v>
      </c>
      <c r="L6" s="56">
        <v>2024</v>
      </c>
      <c r="M6" s="56">
        <v>2025</v>
      </c>
    </row>
    <row r="7" spans="2:13" x14ac:dyDescent="0.2">
      <c r="B7" s="59"/>
      <c r="C7" s="59" t="s">
        <v>106</v>
      </c>
      <c r="D7" s="59"/>
      <c r="E7" s="59"/>
      <c r="F7" s="59"/>
      <c r="G7" s="59"/>
      <c r="H7" s="59"/>
      <c r="I7" s="59"/>
      <c r="J7" s="59"/>
      <c r="K7" s="59"/>
      <c r="L7" s="59"/>
      <c r="M7" s="59"/>
    </row>
    <row r="8" spans="2:13" x14ac:dyDescent="0.2">
      <c r="B8" s="51">
        <v>1001</v>
      </c>
      <c r="C8" s="51" t="s">
        <v>107</v>
      </c>
      <c r="D8" s="51" t="s">
        <v>108</v>
      </c>
      <c r="E8" s="51" t="s">
        <v>109</v>
      </c>
      <c r="F8" s="51" t="s">
        <v>110</v>
      </c>
      <c r="G8" s="58"/>
      <c r="H8" s="52"/>
      <c r="I8" s="52"/>
      <c r="J8" s="52">
        <v>369</v>
      </c>
      <c r="K8" s="52">
        <v>413</v>
      </c>
      <c r="L8" s="52">
        <v>432</v>
      </c>
      <c r="M8" s="52">
        <v>424</v>
      </c>
    </row>
    <row r="9" spans="2:13" x14ac:dyDescent="0.2">
      <c r="B9" s="51">
        <v>1002</v>
      </c>
      <c r="C9" s="51" t="s">
        <v>111</v>
      </c>
      <c r="D9" s="51" t="s">
        <v>108</v>
      </c>
      <c r="E9" s="51" t="s">
        <v>109</v>
      </c>
      <c r="F9" s="51" t="s">
        <v>112</v>
      </c>
      <c r="G9" s="58"/>
      <c r="H9" s="52">
        <f t="shared" ref="H9:M9" si="0">SUM(H10:H11)</f>
        <v>199244</v>
      </c>
      <c r="I9" s="52">
        <f t="shared" si="0"/>
        <v>207305</v>
      </c>
      <c r="J9" s="52">
        <f t="shared" si="0"/>
        <v>191018</v>
      </c>
      <c r="K9" s="52">
        <f t="shared" si="0"/>
        <v>171047</v>
      </c>
      <c r="L9" s="52">
        <f t="shared" si="0"/>
        <v>167576</v>
      </c>
      <c r="M9" s="52">
        <f t="shared" si="0"/>
        <v>171992</v>
      </c>
    </row>
    <row r="10" spans="2:13" x14ac:dyDescent="0.2">
      <c r="B10" s="51">
        <v>1003</v>
      </c>
      <c r="C10" s="51" t="s">
        <v>113</v>
      </c>
      <c r="D10" s="51" t="s">
        <v>108</v>
      </c>
      <c r="E10" s="51" t="s">
        <v>109</v>
      </c>
      <c r="F10" s="51" t="s">
        <v>112</v>
      </c>
      <c r="G10" s="58"/>
      <c r="H10" s="52">
        <v>33299</v>
      </c>
      <c r="I10" s="52">
        <v>30282</v>
      </c>
      <c r="J10" s="52">
        <v>35423</v>
      </c>
      <c r="K10" s="52">
        <v>33823</v>
      </c>
      <c r="L10" s="52">
        <v>34478</v>
      </c>
      <c r="M10" s="52">
        <v>35226</v>
      </c>
    </row>
    <row r="11" spans="2:13" x14ac:dyDescent="0.2">
      <c r="B11" s="51">
        <v>1004</v>
      </c>
      <c r="C11" s="51" t="s">
        <v>114</v>
      </c>
      <c r="D11" s="51" t="s">
        <v>108</v>
      </c>
      <c r="E11" s="51" t="s">
        <v>109</v>
      </c>
      <c r="F11" s="51" t="s">
        <v>112</v>
      </c>
      <c r="G11" s="58"/>
      <c r="H11" s="52">
        <v>165945</v>
      </c>
      <c r="I11" s="52">
        <v>177023</v>
      </c>
      <c r="J11" s="52">
        <v>155595</v>
      </c>
      <c r="K11" s="52">
        <v>137224</v>
      </c>
      <c r="L11" s="52">
        <v>133098</v>
      </c>
      <c r="M11" s="52">
        <v>136766</v>
      </c>
    </row>
    <row r="12" spans="2:13" x14ac:dyDescent="0.2">
      <c r="B12" s="51">
        <v>1005</v>
      </c>
      <c r="C12" s="51" t="s">
        <v>115</v>
      </c>
      <c r="D12" s="51" t="s">
        <v>108</v>
      </c>
      <c r="E12" s="51" t="s">
        <v>109</v>
      </c>
      <c r="F12" s="51" t="s">
        <v>112</v>
      </c>
      <c r="G12" s="58"/>
      <c r="H12" s="52">
        <v>2418.8126376</v>
      </c>
      <c r="I12" s="52">
        <v>3238.9718864000024</v>
      </c>
      <c r="J12" s="52">
        <v>3297.6038712000009</v>
      </c>
      <c r="K12" s="52">
        <v>2672.5750771999997</v>
      </c>
      <c r="L12" s="52">
        <v>2423.8827840000004</v>
      </c>
      <c r="M12" s="52">
        <v>2120.034392</v>
      </c>
    </row>
    <row r="13" spans="2:13" x14ac:dyDescent="0.2">
      <c r="B13" s="51">
        <v>1006</v>
      </c>
      <c r="C13" s="51" t="s">
        <v>116</v>
      </c>
      <c r="D13" s="51" t="s">
        <v>108</v>
      </c>
      <c r="E13" s="51" t="s">
        <v>109</v>
      </c>
      <c r="F13" s="51" t="s">
        <v>117</v>
      </c>
      <c r="G13" s="58"/>
      <c r="H13" s="53">
        <v>89</v>
      </c>
      <c r="I13" s="53">
        <v>107</v>
      </c>
      <c r="J13" s="53">
        <v>93</v>
      </c>
      <c r="K13" s="53">
        <v>82</v>
      </c>
      <c r="L13" s="53">
        <v>89</v>
      </c>
      <c r="M13" s="53">
        <v>89</v>
      </c>
    </row>
    <row r="14" spans="2:13" x14ac:dyDescent="0.2">
      <c r="B14" s="51">
        <v>1007</v>
      </c>
      <c r="C14" s="51" t="s">
        <v>118</v>
      </c>
      <c r="D14" s="51" t="s">
        <v>108</v>
      </c>
      <c r="E14" s="51" t="s">
        <v>109</v>
      </c>
      <c r="F14" s="51" t="s">
        <v>117</v>
      </c>
      <c r="G14" s="58"/>
      <c r="H14" s="53">
        <v>117</v>
      </c>
      <c r="I14" s="53">
        <v>143</v>
      </c>
      <c r="J14" s="53">
        <v>126</v>
      </c>
      <c r="K14" s="53">
        <v>113</v>
      </c>
      <c r="L14" s="53">
        <v>107</v>
      </c>
      <c r="M14" s="53">
        <v>107</v>
      </c>
    </row>
    <row r="15" spans="2:13" x14ac:dyDescent="0.2">
      <c r="B15" s="51">
        <v>1008</v>
      </c>
      <c r="C15" s="51" t="s">
        <v>119</v>
      </c>
      <c r="D15" s="51" t="s">
        <v>108</v>
      </c>
      <c r="E15" s="51" t="s">
        <v>109</v>
      </c>
      <c r="F15" s="51" t="s">
        <v>120</v>
      </c>
      <c r="G15" s="58"/>
      <c r="H15" s="52">
        <v>706</v>
      </c>
      <c r="I15" s="52">
        <v>668</v>
      </c>
      <c r="J15" s="52">
        <v>720</v>
      </c>
      <c r="K15" s="52">
        <v>687</v>
      </c>
      <c r="L15" s="52">
        <v>617</v>
      </c>
      <c r="M15" s="52">
        <v>569</v>
      </c>
    </row>
    <row r="16" spans="2:13" x14ac:dyDescent="0.2">
      <c r="B16" s="51">
        <v>1009</v>
      </c>
      <c r="C16" s="51" t="s">
        <v>121</v>
      </c>
      <c r="D16" s="51" t="s">
        <v>108</v>
      </c>
      <c r="E16" s="51" t="s">
        <v>109</v>
      </c>
      <c r="F16" s="51" t="s">
        <v>122</v>
      </c>
      <c r="G16" s="58"/>
      <c r="H16" s="52"/>
      <c r="I16" s="52"/>
      <c r="J16" s="52"/>
      <c r="K16" s="52"/>
      <c r="L16" s="52"/>
      <c r="M16" s="52"/>
    </row>
    <row r="17" spans="2:15" x14ac:dyDescent="0.2">
      <c r="B17" s="51">
        <v>1010</v>
      </c>
      <c r="C17" s="51" t="s">
        <v>123</v>
      </c>
      <c r="D17" s="51" t="s">
        <v>108</v>
      </c>
      <c r="E17" s="51" t="s">
        <v>109</v>
      </c>
      <c r="F17" s="51" t="s">
        <v>124</v>
      </c>
      <c r="G17" s="58"/>
      <c r="H17" s="53">
        <f>21+10.3</f>
        <v>31.3</v>
      </c>
      <c r="I17" s="53">
        <f>H17</f>
        <v>31.3</v>
      </c>
      <c r="J17" s="53">
        <f>I17</f>
        <v>31.3</v>
      </c>
      <c r="K17" s="53">
        <f>J17+50</f>
        <v>81.3</v>
      </c>
      <c r="L17" s="53">
        <f>K17+100+20</f>
        <v>201.3</v>
      </c>
      <c r="M17" s="53">
        <f>L17+135+95+90+88+50</f>
        <v>659.3</v>
      </c>
    </row>
    <row r="18" spans="2:15" x14ac:dyDescent="0.2">
      <c r="B18" s="51">
        <v>1011</v>
      </c>
      <c r="C18" s="51" t="s">
        <v>125</v>
      </c>
      <c r="D18" s="51" t="s">
        <v>108</v>
      </c>
      <c r="E18" s="51" t="s">
        <v>126</v>
      </c>
      <c r="F18" s="51" t="s">
        <v>112</v>
      </c>
      <c r="G18" s="58"/>
      <c r="H18" s="52">
        <v>24863</v>
      </c>
      <c r="I18" s="52">
        <v>23806.6</v>
      </c>
      <c r="J18" s="52">
        <v>21655.4</v>
      </c>
      <c r="K18" s="52">
        <v>20635.13</v>
      </c>
      <c r="L18" s="52">
        <v>21304.2</v>
      </c>
      <c r="M18" s="52">
        <v>20888.5</v>
      </c>
    </row>
    <row r="19" spans="2:15" x14ac:dyDescent="0.2">
      <c r="B19" s="51">
        <v>1012</v>
      </c>
      <c r="C19" s="51" t="s">
        <v>127</v>
      </c>
      <c r="D19" s="51" t="s">
        <v>108</v>
      </c>
      <c r="E19" s="51" t="s">
        <v>126</v>
      </c>
      <c r="F19" s="51" t="s">
        <v>128</v>
      </c>
      <c r="G19" s="58"/>
      <c r="H19" s="54">
        <v>0.497</v>
      </c>
      <c r="I19" s="54">
        <v>0.46991966206746805</v>
      </c>
      <c r="J19" s="54">
        <v>0.42613640835924282</v>
      </c>
      <c r="K19" s="54">
        <v>0.40088452422582277</v>
      </c>
      <c r="L19" s="54">
        <v>0.40293917385383571</v>
      </c>
      <c r="M19" s="54">
        <v>0.39222810575334233</v>
      </c>
    </row>
    <row r="20" spans="2:15" x14ac:dyDescent="0.2">
      <c r="B20" s="51">
        <v>1013</v>
      </c>
      <c r="C20" s="51" t="s">
        <v>129</v>
      </c>
      <c r="D20" s="51" t="s">
        <v>108</v>
      </c>
      <c r="E20" s="51" t="s">
        <v>126</v>
      </c>
      <c r="F20" s="51" t="s">
        <v>130</v>
      </c>
      <c r="G20" s="58"/>
      <c r="H20" s="70">
        <v>0.1111</v>
      </c>
      <c r="I20" s="70">
        <v>0.16650000000000001</v>
      </c>
      <c r="J20" s="70">
        <v>0.17299999999999999</v>
      </c>
      <c r="K20" s="70">
        <v>0.2303</v>
      </c>
      <c r="L20" s="70">
        <v>0.26650000000000001</v>
      </c>
      <c r="M20" s="70">
        <v>0.29349999999999998</v>
      </c>
    </row>
    <row r="21" spans="2:15" x14ac:dyDescent="0.2">
      <c r="B21" s="51">
        <v>1014</v>
      </c>
      <c r="C21" s="51" t="s">
        <v>131</v>
      </c>
      <c r="D21" s="51" t="s">
        <v>108</v>
      </c>
      <c r="E21" s="51" t="s">
        <v>76</v>
      </c>
      <c r="F21" s="51" t="s">
        <v>110</v>
      </c>
      <c r="G21" s="58"/>
      <c r="H21" s="52">
        <v>10</v>
      </c>
      <c r="I21" s="52">
        <v>43</v>
      </c>
      <c r="J21" s="52">
        <v>45</v>
      </c>
      <c r="K21" s="52">
        <v>59</v>
      </c>
      <c r="L21" s="52">
        <v>119</v>
      </c>
      <c r="M21" s="52">
        <v>173</v>
      </c>
    </row>
    <row r="22" spans="2:15" x14ac:dyDescent="0.2">
      <c r="B22" s="51">
        <v>1015</v>
      </c>
      <c r="C22" s="51" t="s">
        <v>132</v>
      </c>
      <c r="D22" s="51" t="s">
        <v>108</v>
      </c>
      <c r="E22" s="51" t="s">
        <v>76</v>
      </c>
      <c r="F22" s="51" t="s">
        <v>130</v>
      </c>
      <c r="G22" s="58"/>
      <c r="H22" s="70">
        <f>H21/1444</f>
        <v>6.9252077562326868E-3</v>
      </c>
      <c r="I22" s="70">
        <f>I21/1438</f>
        <v>2.9902642559109873E-2</v>
      </c>
      <c r="J22" s="70">
        <f>J21/1431</f>
        <v>3.1446540880503145E-2</v>
      </c>
      <c r="K22" s="70">
        <f>K21/1411</f>
        <v>4.1814316087880936E-2</v>
      </c>
      <c r="L22" s="70">
        <f>L21/1523</f>
        <v>7.8135259356533163E-2</v>
      </c>
      <c r="M22" s="70">
        <f>M21/1443</f>
        <v>0.11988911988911989</v>
      </c>
    </row>
    <row r="23" spans="2:15" x14ac:dyDescent="0.2">
      <c r="B23" s="51">
        <v>1016</v>
      </c>
      <c r="C23" s="51" t="s">
        <v>133</v>
      </c>
      <c r="D23" s="51" t="s">
        <v>108</v>
      </c>
      <c r="E23" s="51" t="s">
        <v>134</v>
      </c>
      <c r="F23" s="51" t="s">
        <v>135</v>
      </c>
      <c r="G23" s="58"/>
      <c r="H23" s="52">
        <v>3630</v>
      </c>
      <c r="I23" s="52">
        <v>3301</v>
      </c>
      <c r="J23" s="52">
        <v>3861</v>
      </c>
      <c r="K23" s="52">
        <v>3687</v>
      </c>
      <c r="L23" s="52">
        <v>3758</v>
      </c>
      <c r="M23" s="52">
        <v>3840</v>
      </c>
    </row>
    <row r="24" spans="2:15" x14ac:dyDescent="0.2">
      <c r="B24" s="51">
        <v>1017</v>
      </c>
      <c r="C24" s="51" t="s">
        <v>136</v>
      </c>
      <c r="D24" s="51" t="s">
        <v>108</v>
      </c>
      <c r="E24" s="51" t="s">
        <v>134</v>
      </c>
      <c r="F24" s="51" t="s">
        <v>135</v>
      </c>
      <c r="G24" s="58"/>
      <c r="H24" s="52">
        <v>24062</v>
      </c>
      <c r="I24" s="52">
        <v>25314</v>
      </c>
      <c r="J24" s="52">
        <v>21646</v>
      </c>
      <c r="K24" s="52">
        <v>17839</v>
      </c>
      <c r="L24" s="52">
        <v>17369</v>
      </c>
      <c r="M24" s="52">
        <v>16426</v>
      </c>
    </row>
    <row r="25" spans="2:15" x14ac:dyDescent="0.2">
      <c r="B25" s="51">
        <v>1018</v>
      </c>
      <c r="C25" s="51" t="s">
        <v>137</v>
      </c>
      <c r="D25" s="51" t="s">
        <v>108</v>
      </c>
      <c r="E25" s="51" t="s">
        <v>134</v>
      </c>
      <c r="F25" s="51" t="s">
        <v>135</v>
      </c>
      <c r="G25" s="58"/>
      <c r="H25" s="52">
        <v>2710</v>
      </c>
      <c r="I25" s="52">
        <v>2595</v>
      </c>
      <c r="J25" s="52">
        <v>2360</v>
      </c>
      <c r="K25" s="52">
        <v>2249</v>
      </c>
      <c r="L25" s="52">
        <v>2322</v>
      </c>
      <c r="M25" s="52">
        <v>2277</v>
      </c>
    </row>
    <row r="26" spans="2:15" x14ac:dyDescent="0.2">
      <c r="B26" s="51">
        <v>1019</v>
      </c>
      <c r="C26" s="51" t="s">
        <v>138</v>
      </c>
      <c r="D26" s="51" t="s">
        <v>108</v>
      </c>
      <c r="E26" s="51" t="s">
        <v>134</v>
      </c>
      <c r="F26" s="51" t="s">
        <v>135</v>
      </c>
      <c r="G26" s="58"/>
      <c r="H26" s="52">
        <v>3840</v>
      </c>
      <c r="I26" s="52">
        <v>3846</v>
      </c>
      <c r="J26" s="52">
        <v>3851</v>
      </c>
      <c r="K26" s="52">
        <v>3802</v>
      </c>
      <c r="L26" s="52">
        <v>3744</v>
      </c>
      <c r="M26" s="52">
        <v>3812</v>
      </c>
    </row>
    <row r="27" spans="2:15" x14ac:dyDescent="0.2">
      <c r="B27" s="51">
        <v>1020</v>
      </c>
      <c r="C27" s="51" t="s">
        <v>139</v>
      </c>
      <c r="D27" s="51" t="s">
        <v>108</v>
      </c>
      <c r="E27" s="51" t="s">
        <v>134</v>
      </c>
      <c r="F27" s="51" t="s">
        <v>135</v>
      </c>
      <c r="G27" s="58"/>
      <c r="H27" s="52">
        <v>3618</v>
      </c>
      <c r="I27" s="52">
        <v>4576.9655265893307</v>
      </c>
      <c r="J27" s="52">
        <v>3817.5072921659703</v>
      </c>
      <c r="K27" s="52">
        <v>1782.5174417505348</v>
      </c>
      <c r="L27" s="52">
        <v>1345.9540760103373</v>
      </c>
      <c r="M27" s="52">
        <v>1194.3112209982173</v>
      </c>
    </row>
    <row r="28" spans="2:15" x14ac:dyDescent="0.2">
      <c r="B28" s="51">
        <v>1021</v>
      </c>
      <c r="C28" s="51" t="s">
        <v>140</v>
      </c>
      <c r="D28" s="51" t="s">
        <v>108</v>
      </c>
      <c r="E28" s="51" t="s">
        <v>134</v>
      </c>
      <c r="F28" s="51" t="s">
        <v>135</v>
      </c>
      <c r="G28" s="58"/>
      <c r="H28" s="52">
        <f t="shared" ref="H28:M28" si="1">SUM(H23:H27)</f>
        <v>37860</v>
      </c>
      <c r="I28" s="52">
        <f t="shared" si="1"/>
        <v>39632.965526589331</v>
      </c>
      <c r="J28" s="52">
        <f t="shared" si="1"/>
        <v>35535.507292165974</v>
      </c>
      <c r="K28" s="52">
        <f t="shared" si="1"/>
        <v>29359.517441750533</v>
      </c>
      <c r="L28" s="52">
        <f t="shared" si="1"/>
        <v>28538.954076010337</v>
      </c>
      <c r="M28" s="52">
        <f t="shared" si="1"/>
        <v>27549.311220998217</v>
      </c>
    </row>
    <row r="29" spans="2:15" x14ac:dyDescent="0.2">
      <c r="B29" s="59"/>
      <c r="C29" s="59" t="s">
        <v>141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</row>
    <row r="30" spans="2:15" ht="19" x14ac:dyDescent="0.2">
      <c r="B30" s="51">
        <v>2001</v>
      </c>
      <c r="C30" s="68" t="s">
        <v>205</v>
      </c>
      <c r="D30" s="51" t="s">
        <v>47</v>
      </c>
      <c r="E30" s="51" t="s">
        <v>142</v>
      </c>
      <c r="F30" s="51" t="s">
        <v>112</v>
      </c>
      <c r="G30" s="58"/>
      <c r="H30" s="52">
        <v>2455669</v>
      </c>
      <c r="I30" s="52">
        <v>2387452</v>
      </c>
      <c r="J30" s="52">
        <v>2300619</v>
      </c>
      <c r="K30" s="52">
        <v>2243883</v>
      </c>
      <c r="L30" s="52">
        <v>2309989</v>
      </c>
      <c r="M30" s="52">
        <v>2245623</v>
      </c>
      <c r="O30" s="66"/>
    </row>
    <row r="31" spans="2:15" x14ac:dyDescent="0.2">
      <c r="B31" s="51">
        <v>2002</v>
      </c>
      <c r="C31" s="51" t="s">
        <v>143</v>
      </c>
      <c r="D31" s="51" t="s">
        <v>47</v>
      </c>
      <c r="E31" s="51" t="s">
        <v>142</v>
      </c>
      <c r="F31" s="51" t="s">
        <v>117</v>
      </c>
      <c r="G31" s="58"/>
      <c r="H31" s="53">
        <v>147</v>
      </c>
      <c r="I31" s="53">
        <v>141.88</v>
      </c>
      <c r="J31" s="53">
        <v>119.14</v>
      </c>
      <c r="K31" s="53">
        <v>111.87</v>
      </c>
      <c r="L31" s="53">
        <v>114.15</v>
      </c>
      <c r="M31" s="53">
        <v>113.21</v>
      </c>
    </row>
    <row r="32" spans="2:15" x14ac:dyDescent="0.2">
      <c r="B32" s="51">
        <v>2003</v>
      </c>
      <c r="C32" s="51" t="s">
        <v>144</v>
      </c>
      <c r="D32" s="51" t="s">
        <v>47</v>
      </c>
      <c r="E32" s="51" t="s">
        <v>142</v>
      </c>
      <c r="F32" s="51" t="s">
        <v>117</v>
      </c>
      <c r="G32" s="58"/>
      <c r="H32" s="53"/>
      <c r="I32" s="53">
        <v>83.83</v>
      </c>
      <c r="J32" s="53">
        <v>69.05</v>
      </c>
      <c r="K32" s="53">
        <v>64.72</v>
      </c>
      <c r="L32" s="53">
        <v>73.510000000000005</v>
      </c>
      <c r="M32" s="53">
        <v>62.83</v>
      </c>
    </row>
    <row r="33" spans="2:21" x14ac:dyDescent="0.2">
      <c r="B33" s="51">
        <v>2004</v>
      </c>
      <c r="C33" s="51" t="s">
        <v>145</v>
      </c>
      <c r="D33" s="51" t="s">
        <v>47</v>
      </c>
      <c r="E33" s="51" t="s">
        <v>146</v>
      </c>
      <c r="F33" s="51" t="s">
        <v>147</v>
      </c>
      <c r="G33" s="58"/>
      <c r="H33" s="52">
        <v>68</v>
      </c>
      <c r="I33" s="52">
        <v>71</v>
      </c>
      <c r="J33" s="52">
        <v>76</v>
      </c>
      <c r="K33" s="52">
        <v>136</v>
      </c>
      <c r="L33" s="52">
        <v>146</v>
      </c>
      <c r="M33" s="52">
        <v>209</v>
      </c>
    </row>
    <row r="34" spans="2:21" x14ac:dyDescent="0.2">
      <c r="B34" s="51">
        <v>2005</v>
      </c>
      <c r="C34" s="51" t="s">
        <v>148</v>
      </c>
      <c r="D34" s="51" t="s">
        <v>47</v>
      </c>
      <c r="E34" s="51" t="s">
        <v>146</v>
      </c>
      <c r="F34" s="51" t="s">
        <v>149</v>
      </c>
      <c r="G34" s="58"/>
      <c r="H34" s="52"/>
      <c r="I34" s="52"/>
      <c r="J34" s="52"/>
      <c r="K34" s="52"/>
      <c r="L34" s="52"/>
      <c r="M34" s="52">
        <v>44</v>
      </c>
      <c r="P34" s="5"/>
      <c r="Q34" s="5"/>
      <c r="R34" s="5"/>
      <c r="S34" s="5"/>
      <c r="T34" s="5"/>
      <c r="U34" s="5"/>
    </row>
    <row r="35" spans="2:21" x14ac:dyDescent="0.2">
      <c r="B35" s="51">
        <v>2006</v>
      </c>
      <c r="C35" s="51" t="s">
        <v>150</v>
      </c>
      <c r="D35" s="51" t="s">
        <v>47</v>
      </c>
      <c r="E35" s="51" t="s">
        <v>146</v>
      </c>
      <c r="F35" s="51" t="s">
        <v>151</v>
      </c>
      <c r="G35" s="58"/>
      <c r="H35" s="52">
        <v>489</v>
      </c>
      <c r="I35" s="52">
        <v>307</v>
      </c>
      <c r="J35" s="52">
        <v>359</v>
      </c>
      <c r="K35" s="52">
        <v>241</v>
      </c>
      <c r="L35" s="52">
        <v>334</v>
      </c>
      <c r="M35" s="52">
        <v>222</v>
      </c>
      <c r="P35" s="4"/>
      <c r="Q35" s="4"/>
      <c r="R35" s="4"/>
      <c r="S35" s="4"/>
      <c r="T35" s="4"/>
      <c r="U35" s="4"/>
    </row>
    <row r="36" spans="2:21" x14ac:dyDescent="0.2">
      <c r="B36" s="51">
        <v>2007</v>
      </c>
      <c r="C36" s="51" t="s">
        <v>152</v>
      </c>
      <c r="D36" s="51" t="s">
        <v>47</v>
      </c>
      <c r="E36" s="51" t="s">
        <v>134</v>
      </c>
      <c r="F36" s="51" t="s">
        <v>135</v>
      </c>
      <c r="G36" s="58"/>
      <c r="H36" s="52">
        <v>367435</v>
      </c>
      <c r="I36" s="52">
        <v>469332.47860119998</v>
      </c>
      <c r="J36" s="52">
        <v>399714.11207999999</v>
      </c>
      <c r="K36" s="52">
        <v>358054.36</v>
      </c>
      <c r="L36" s="52">
        <v>364799.516</v>
      </c>
      <c r="M36" s="52">
        <v>344654.15399999998</v>
      </c>
      <c r="P36" s="4"/>
      <c r="Q36" s="4"/>
      <c r="R36" s="4"/>
      <c r="S36" s="4"/>
      <c r="T36" s="4"/>
      <c r="U36" s="4"/>
    </row>
    <row r="37" spans="2:21" x14ac:dyDescent="0.2">
      <c r="B37" s="51">
        <v>2008</v>
      </c>
      <c r="C37" s="51" t="s">
        <v>153</v>
      </c>
      <c r="D37" s="51" t="s">
        <v>47</v>
      </c>
      <c r="E37" s="51" t="s">
        <v>134</v>
      </c>
      <c r="F37" s="51" t="s">
        <v>135</v>
      </c>
      <c r="G37" s="58"/>
      <c r="H37" s="52">
        <v>55392</v>
      </c>
      <c r="I37" s="52">
        <v>57196</v>
      </c>
      <c r="J37" s="52">
        <v>53545</v>
      </c>
      <c r="K37" s="52">
        <v>51625</v>
      </c>
      <c r="L37" s="52">
        <v>52900</v>
      </c>
      <c r="M37" s="52">
        <v>54282</v>
      </c>
      <c r="P37" s="4"/>
      <c r="Q37" s="4"/>
      <c r="R37" s="4"/>
      <c r="S37" s="4"/>
      <c r="T37" s="4"/>
      <c r="U37" s="4"/>
    </row>
    <row r="38" spans="2:21" x14ac:dyDescent="0.2">
      <c r="B38" s="59"/>
      <c r="C38" s="59" t="s">
        <v>154</v>
      </c>
      <c r="D38" s="59"/>
      <c r="E38" s="59"/>
      <c r="F38" s="59"/>
      <c r="G38" s="59"/>
      <c r="H38" s="59"/>
      <c r="I38" s="59"/>
      <c r="J38" s="59"/>
      <c r="K38" s="59"/>
      <c r="L38" s="59"/>
      <c r="M38" s="59"/>
    </row>
    <row r="39" spans="2:21" x14ac:dyDescent="0.2">
      <c r="B39" s="51">
        <v>3001</v>
      </c>
      <c r="C39" s="51" t="s">
        <v>155</v>
      </c>
      <c r="D39" s="51" t="s">
        <v>156</v>
      </c>
      <c r="E39" s="51" t="s">
        <v>142</v>
      </c>
      <c r="F39" s="51" t="s">
        <v>157</v>
      </c>
      <c r="G39" s="58"/>
      <c r="H39" s="52">
        <v>2756</v>
      </c>
      <c r="I39" s="52">
        <v>3310.8009999999999</v>
      </c>
      <c r="J39" s="52">
        <v>2904.7761300000002</v>
      </c>
      <c r="K39" s="52">
        <v>2763.3598400000001</v>
      </c>
      <c r="L39" s="52">
        <v>2786.17</v>
      </c>
      <c r="M39" s="52">
        <v>2818.5048700000002</v>
      </c>
      <c r="N39" s="2"/>
      <c r="O39" s="3"/>
    </row>
    <row r="40" spans="2:21" x14ac:dyDescent="0.2">
      <c r="B40" s="51">
        <v>3002</v>
      </c>
      <c r="C40" s="51" t="s">
        <v>158</v>
      </c>
      <c r="D40" s="51" t="s">
        <v>156</v>
      </c>
      <c r="E40" s="51" t="s">
        <v>142</v>
      </c>
      <c r="F40" s="51" t="s">
        <v>130</v>
      </c>
      <c r="G40" s="58"/>
      <c r="H40" s="70">
        <v>0.31</v>
      </c>
      <c r="I40" s="70">
        <v>0.33379999999999999</v>
      </c>
      <c r="J40" s="70">
        <v>0.40589999999999998</v>
      </c>
      <c r="K40" s="70">
        <v>0.4133</v>
      </c>
      <c r="L40" s="70">
        <v>0.41739999999999999</v>
      </c>
      <c r="M40" s="70">
        <v>0.46850000000000003</v>
      </c>
      <c r="N40" s="2"/>
      <c r="O40" s="3"/>
    </row>
    <row r="41" spans="2:21" x14ac:dyDescent="0.2">
      <c r="B41" s="51">
        <v>3003</v>
      </c>
      <c r="C41" s="51" t="s">
        <v>159</v>
      </c>
      <c r="D41" s="51" t="s">
        <v>156</v>
      </c>
      <c r="E41" s="51" t="s">
        <v>160</v>
      </c>
      <c r="F41" s="51" t="s">
        <v>157</v>
      </c>
      <c r="G41" s="58"/>
      <c r="H41" s="53">
        <v>294.7</v>
      </c>
      <c r="I41" s="53">
        <v>518.70000000000005</v>
      </c>
      <c r="J41" s="53">
        <v>438.35199999999998</v>
      </c>
      <c r="K41" s="53">
        <v>424.4</v>
      </c>
      <c r="L41" s="53">
        <v>420</v>
      </c>
      <c r="M41" s="53">
        <v>415.87700000000001</v>
      </c>
      <c r="N41" s="2"/>
      <c r="O41" s="3"/>
    </row>
    <row r="42" spans="2:21" x14ac:dyDescent="0.2">
      <c r="B42" s="51">
        <v>3004</v>
      </c>
      <c r="C42" s="51" t="s">
        <v>161</v>
      </c>
      <c r="D42" s="51" t="s">
        <v>156</v>
      </c>
      <c r="E42" s="51" t="s">
        <v>160</v>
      </c>
      <c r="F42" s="51" t="s">
        <v>157</v>
      </c>
      <c r="G42" s="58"/>
      <c r="H42" s="53">
        <v>3167</v>
      </c>
      <c r="I42" s="53">
        <v>3096</v>
      </c>
      <c r="J42" s="53">
        <v>2077</v>
      </c>
      <c r="K42" s="53">
        <v>2195</v>
      </c>
      <c r="L42" s="53">
        <v>2429</v>
      </c>
      <c r="M42" s="53">
        <v>2101</v>
      </c>
      <c r="N42" s="2"/>
      <c r="O42" s="3"/>
    </row>
    <row r="43" spans="2:21" x14ac:dyDescent="0.2">
      <c r="B43" s="51">
        <v>3005</v>
      </c>
      <c r="C43" s="51" t="s">
        <v>162</v>
      </c>
      <c r="D43" s="51" t="s">
        <v>156</v>
      </c>
      <c r="E43" s="51" t="s">
        <v>163</v>
      </c>
      <c r="F43" s="51" t="s">
        <v>157</v>
      </c>
      <c r="G43" s="58"/>
      <c r="H43" s="53">
        <v>3461</v>
      </c>
      <c r="I43" s="53">
        <v>3614</v>
      </c>
      <c r="J43" s="53">
        <v>2515</v>
      </c>
      <c r="K43" s="53">
        <v>2619</v>
      </c>
      <c r="L43" s="53">
        <v>2849</v>
      </c>
      <c r="M43" s="53">
        <v>2516.877</v>
      </c>
      <c r="N43" s="2"/>
      <c r="O43" s="3"/>
    </row>
    <row r="44" spans="2:21" x14ac:dyDescent="0.2">
      <c r="B44" s="51">
        <v>3006</v>
      </c>
      <c r="C44" s="51" t="s">
        <v>244</v>
      </c>
      <c r="D44" s="51" t="s">
        <v>156</v>
      </c>
      <c r="E44" s="51" t="s">
        <v>160</v>
      </c>
      <c r="F44" s="51" t="s">
        <v>130</v>
      </c>
      <c r="G44" s="58"/>
      <c r="H44" s="70">
        <v>0.49869999999999998</v>
      </c>
      <c r="I44" s="70">
        <v>0.45939999999999998</v>
      </c>
      <c r="J44" s="70">
        <v>0.4632</v>
      </c>
      <c r="K44" s="70">
        <v>0.44579999999999997</v>
      </c>
      <c r="L44" s="70">
        <v>0.46100000000000002</v>
      </c>
      <c r="M44" s="70">
        <v>0.42720000000000002</v>
      </c>
      <c r="N44" s="2"/>
      <c r="O44" s="3"/>
    </row>
    <row r="45" spans="2:21" x14ac:dyDescent="0.2">
      <c r="B45" s="51">
        <v>3007</v>
      </c>
      <c r="C45" s="51" t="s">
        <v>245</v>
      </c>
      <c r="D45" s="51" t="s">
        <v>156</v>
      </c>
      <c r="E45" s="51" t="s">
        <v>160</v>
      </c>
      <c r="F45" s="51" t="s">
        <v>130</v>
      </c>
      <c r="G45" s="58"/>
      <c r="H45" s="70">
        <v>0.41820000000000002</v>
      </c>
      <c r="I45" s="70">
        <v>0.3463</v>
      </c>
      <c r="J45" s="70">
        <v>0.42599999999999999</v>
      </c>
      <c r="K45" s="70">
        <v>0.34179999999999999</v>
      </c>
      <c r="L45" s="70">
        <v>0.38400000000000001</v>
      </c>
      <c r="M45" s="70">
        <v>0.34229999999999999</v>
      </c>
      <c r="N45" s="2"/>
      <c r="O45" s="3"/>
    </row>
    <row r="46" spans="2:21" x14ac:dyDescent="0.2">
      <c r="B46" s="51">
        <v>3008</v>
      </c>
      <c r="C46" s="51" t="s">
        <v>164</v>
      </c>
      <c r="D46" s="51" t="s">
        <v>156</v>
      </c>
      <c r="E46" s="51" t="s">
        <v>165</v>
      </c>
      <c r="F46" s="51" t="s">
        <v>157</v>
      </c>
      <c r="G46" s="58"/>
      <c r="H46" s="53">
        <v>1960.3109999999999</v>
      </c>
      <c r="I46" s="53">
        <v>1956.8614</v>
      </c>
      <c r="J46" s="53">
        <v>1921.0319</v>
      </c>
      <c r="K46" s="53">
        <v>1840.3876299999999</v>
      </c>
      <c r="L46" s="53">
        <v>1937.0864999999999</v>
      </c>
      <c r="M46" s="53">
        <v>1970.4333999999999</v>
      </c>
      <c r="N46" s="2"/>
      <c r="O46" s="3"/>
    </row>
    <row r="47" spans="2:21" x14ac:dyDescent="0.2">
      <c r="B47" s="51">
        <v>3009</v>
      </c>
      <c r="C47" s="51" t="s">
        <v>166</v>
      </c>
      <c r="D47" s="51" t="s">
        <v>156</v>
      </c>
      <c r="E47" s="51" t="s">
        <v>165</v>
      </c>
      <c r="F47" s="51" t="s">
        <v>130</v>
      </c>
      <c r="G47" s="58"/>
      <c r="H47" s="70">
        <v>3.1E-2</v>
      </c>
      <c r="I47" s="70">
        <v>0.03</v>
      </c>
      <c r="J47" s="70">
        <v>5.1999999999999998E-2</v>
      </c>
      <c r="K47" s="70">
        <v>0.05</v>
      </c>
      <c r="L47" s="70">
        <v>0.05</v>
      </c>
      <c r="M47" s="70">
        <v>6.7000000000000004E-2</v>
      </c>
      <c r="N47" s="2"/>
      <c r="O47" s="3"/>
    </row>
    <row r="48" spans="2:21" x14ac:dyDescent="0.2">
      <c r="B48" s="51">
        <v>3010</v>
      </c>
      <c r="C48" s="51" t="s">
        <v>167</v>
      </c>
      <c r="D48" s="51" t="s">
        <v>156</v>
      </c>
      <c r="E48" s="51" t="s">
        <v>165</v>
      </c>
      <c r="F48" s="51" t="s">
        <v>157</v>
      </c>
      <c r="G48" s="58"/>
      <c r="H48" s="53">
        <v>0.63300000000000001</v>
      </c>
      <c r="I48" s="53">
        <v>1.0940000000000001</v>
      </c>
      <c r="J48" s="53">
        <v>4.2489999999999997</v>
      </c>
      <c r="K48" s="53">
        <v>19.702999999999999</v>
      </c>
      <c r="L48" s="53">
        <v>44.225999999999999</v>
      </c>
      <c r="M48" s="53">
        <v>70.572999999999993</v>
      </c>
      <c r="N48" s="2"/>
      <c r="O48" s="3"/>
    </row>
    <row r="49" spans="2:15" x14ac:dyDescent="0.2">
      <c r="B49" s="51">
        <v>3011</v>
      </c>
      <c r="C49" s="51" t="s">
        <v>168</v>
      </c>
      <c r="D49" s="51" t="s">
        <v>156</v>
      </c>
      <c r="E49" s="51" t="s">
        <v>169</v>
      </c>
      <c r="F49" s="51" t="s">
        <v>110</v>
      </c>
      <c r="G49" s="58"/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1</v>
      </c>
      <c r="N49" s="2"/>
      <c r="O49" s="3"/>
    </row>
    <row r="50" spans="2:15" x14ac:dyDescent="0.2">
      <c r="B50" s="51">
        <v>3012</v>
      </c>
      <c r="C50" s="51" t="s">
        <v>170</v>
      </c>
      <c r="D50" s="51" t="s">
        <v>156</v>
      </c>
      <c r="E50" s="51" t="s">
        <v>134</v>
      </c>
      <c r="F50" s="51" t="s">
        <v>135</v>
      </c>
      <c r="G50" s="58"/>
      <c r="H50" s="52">
        <v>399620</v>
      </c>
      <c r="I50" s="52">
        <v>473444.54299999995</v>
      </c>
      <c r="J50" s="52">
        <v>404112.45520560001</v>
      </c>
      <c r="K50" s="52">
        <v>359236.77919999999</v>
      </c>
      <c r="L50" s="52">
        <v>363595.185</v>
      </c>
      <c r="M50" s="52">
        <v>338502.43488699995</v>
      </c>
      <c r="N50" s="2"/>
      <c r="O50" s="3"/>
    </row>
    <row r="51" spans="2:15" x14ac:dyDescent="0.2">
      <c r="B51" s="51">
        <v>3013</v>
      </c>
      <c r="C51" s="51" t="s">
        <v>171</v>
      </c>
      <c r="D51" s="51" t="s">
        <v>156</v>
      </c>
      <c r="E51" s="51" t="s">
        <v>134</v>
      </c>
      <c r="F51" s="51" t="s">
        <v>135</v>
      </c>
      <c r="G51" s="58"/>
      <c r="H51" s="52">
        <v>213674</v>
      </c>
      <c r="I51" s="52">
        <v>213298</v>
      </c>
      <c r="J51" s="52">
        <v>209391</v>
      </c>
      <c r="K51" s="52">
        <v>200602</v>
      </c>
      <c r="L51" s="52">
        <v>211141</v>
      </c>
      <c r="M51" s="52">
        <v>214777</v>
      </c>
      <c r="N51" s="2"/>
      <c r="O51" s="3"/>
    </row>
    <row r="52" spans="2:15" x14ac:dyDescent="0.2">
      <c r="B52" s="51">
        <v>3014</v>
      </c>
      <c r="C52" s="51" t="s">
        <v>172</v>
      </c>
      <c r="D52" s="51" t="s">
        <v>156</v>
      </c>
      <c r="E52" s="51" t="s">
        <v>134</v>
      </c>
      <c r="F52" s="51" t="s">
        <v>135</v>
      </c>
      <c r="G52" s="58"/>
      <c r="H52" s="52">
        <v>297817</v>
      </c>
      <c r="I52" s="52">
        <v>355019</v>
      </c>
      <c r="J52" s="52">
        <v>282637.07317026338</v>
      </c>
      <c r="K52" s="52">
        <v>288432.34806249401</v>
      </c>
      <c r="L52" s="52">
        <v>278340.40459497675</v>
      </c>
      <c r="M52" s="52">
        <v>262975.407175272</v>
      </c>
      <c r="N52" s="2"/>
      <c r="O52" s="3"/>
    </row>
    <row r="53" spans="2:15" x14ac:dyDescent="0.2">
      <c r="B53" s="51">
        <v>3015</v>
      </c>
      <c r="C53" s="51" t="s">
        <v>173</v>
      </c>
      <c r="D53" s="51" t="s">
        <v>156</v>
      </c>
      <c r="E53" s="51" t="s">
        <v>134</v>
      </c>
      <c r="F53" s="51" t="s">
        <v>135</v>
      </c>
      <c r="G53" s="58"/>
      <c r="H53" s="52">
        <v>305940</v>
      </c>
      <c r="I53" s="52">
        <v>333818</v>
      </c>
      <c r="J53" s="52">
        <v>265389</v>
      </c>
      <c r="K53" s="52">
        <v>271775.77</v>
      </c>
      <c r="L53" s="52">
        <v>259767</v>
      </c>
      <c r="M53" s="52">
        <v>240398</v>
      </c>
      <c r="N53" s="2"/>
      <c r="O53" s="3"/>
    </row>
    <row r="54" spans="2:15" ht="32" customHeight="1" x14ac:dyDescent="0.2">
      <c r="B54" s="51">
        <v>3016</v>
      </c>
      <c r="C54" s="65" t="s">
        <v>174</v>
      </c>
      <c r="D54" s="51" t="s">
        <v>156</v>
      </c>
      <c r="E54" s="51" t="s">
        <v>134</v>
      </c>
      <c r="F54" s="51" t="s">
        <v>135</v>
      </c>
      <c r="G54" s="58"/>
      <c r="H54" s="52">
        <v>148102</v>
      </c>
      <c r="I54" s="52">
        <v>146360</v>
      </c>
      <c r="J54" s="52">
        <v>145774</v>
      </c>
      <c r="K54" s="52">
        <v>139239</v>
      </c>
      <c r="L54" s="52">
        <v>148417</v>
      </c>
      <c r="M54" s="52">
        <v>150566</v>
      </c>
      <c r="N54" s="2"/>
      <c r="O54" s="3"/>
    </row>
    <row r="55" spans="2:15" x14ac:dyDescent="0.2">
      <c r="B55" s="59"/>
      <c r="C55" s="59" t="s">
        <v>175</v>
      </c>
      <c r="D55" s="59"/>
      <c r="E55" s="59"/>
      <c r="F55" s="59"/>
      <c r="G55" s="59"/>
      <c r="H55" s="60"/>
      <c r="I55" s="60"/>
      <c r="J55" s="60"/>
      <c r="K55" s="60"/>
      <c r="L55" s="60"/>
      <c r="M55" s="60"/>
      <c r="N55" s="2"/>
      <c r="O55" s="3"/>
    </row>
    <row r="56" spans="2:15" x14ac:dyDescent="0.2">
      <c r="B56" s="51">
        <v>4001</v>
      </c>
      <c r="C56" s="51" t="s">
        <v>176</v>
      </c>
      <c r="D56" s="51" t="s">
        <v>76</v>
      </c>
      <c r="E56" s="51" t="s">
        <v>177</v>
      </c>
      <c r="F56" s="51" t="s">
        <v>110</v>
      </c>
      <c r="G56" s="58"/>
      <c r="H56" s="52">
        <v>283627</v>
      </c>
      <c r="I56" s="52">
        <v>288527.8874316733</v>
      </c>
      <c r="J56" s="52">
        <v>290614.78071040014</v>
      </c>
      <c r="K56" s="52">
        <v>294573</v>
      </c>
      <c r="L56" s="52">
        <v>296078</v>
      </c>
      <c r="M56" s="52">
        <v>300917</v>
      </c>
      <c r="N56" s="2"/>
      <c r="O56" s="3"/>
    </row>
    <row r="57" spans="2:15" x14ac:dyDescent="0.2">
      <c r="B57" s="51">
        <v>4002</v>
      </c>
      <c r="C57" s="51" t="s">
        <v>178</v>
      </c>
      <c r="D57" s="51" t="s">
        <v>76</v>
      </c>
      <c r="E57" s="51" t="s">
        <v>177</v>
      </c>
      <c r="F57" s="51" t="s">
        <v>110</v>
      </c>
      <c r="G57" s="58"/>
      <c r="H57" s="52">
        <v>1122</v>
      </c>
      <c r="I57" s="52">
        <v>1799</v>
      </c>
      <c r="J57" s="52">
        <v>2721</v>
      </c>
      <c r="K57" s="52">
        <v>3779</v>
      </c>
      <c r="L57" s="52">
        <v>5129</v>
      </c>
      <c r="M57" s="52">
        <v>7138</v>
      </c>
      <c r="N57" s="2"/>
      <c r="O57" s="3"/>
    </row>
    <row r="58" spans="2:15" x14ac:dyDescent="0.2">
      <c r="B58" s="51">
        <v>4003</v>
      </c>
      <c r="C58" s="51" t="s">
        <v>179</v>
      </c>
      <c r="D58" s="51" t="s">
        <v>76</v>
      </c>
      <c r="E58" s="51" t="s">
        <v>177</v>
      </c>
      <c r="F58" s="51" t="s">
        <v>110</v>
      </c>
      <c r="G58" s="58"/>
      <c r="H58" s="52"/>
      <c r="I58" s="52"/>
      <c r="J58" s="52"/>
      <c r="K58" s="52"/>
      <c r="L58" s="52"/>
      <c r="M58" s="52">
        <v>537</v>
      </c>
      <c r="N58" s="2"/>
      <c r="O58" s="3"/>
    </row>
    <row r="59" spans="2:15" x14ac:dyDescent="0.2">
      <c r="B59" s="51">
        <v>4004</v>
      </c>
      <c r="C59" s="51" t="s">
        <v>180</v>
      </c>
      <c r="D59" s="51" t="s">
        <v>76</v>
      </c>
      <c r="E59" s="51" t="s">
        <v>177</v>
      </c>
      <c r="F59" s="51" t="s">
        <v>181</v>
      </c>
      <c r="G59" s="58"/>
      <c r="H59" s="53">
        <f>(84289.71+13273.59)/1000</f>
        <v>97.563299999999998</v>
      </c>
      <c r="I59" s="53">
        <f>H59+27802.99/1000</f>
        <v>125.36628999999999</v>
      </c>
      <c r="J59" s="53">
        <f>I59+8264.12/1000</f>
        <v>133.63040999999998</v>
      </c>
      <c r="K59" s="53">
        <f>J59+16875.83/1000</f>
        <v>150.50623999999999</v>
      </c>
      <c r="L59" s="53">
        <f>K59+10372/1000</f>
        <v>160.87824000000001</v>
      </c>
      <c r="M59" s="53">
        <f>L59+4143/1000</f>
        <v>165.02124000000001</v>
      </c>
      <c r="N59" s="2"/>
      <c r="O59" s="3"/>
    </row>
    <row r="60" spans="2:15" x14ac:dyDescent="0.2">
      <c r="B60" s="51">
        <v>4005</v>
      </c>
      <c r="C60" s="51" t="s">
        <v>182</v>
      </c>
      <c r="D60" s="51" t="s">
        <v>76</v>
      </c>
      <c r="E60" s="51" t="s">
        <v>183</v>
      </c>
      <c r="F60" s="51" t="s">
        <v>184</v>
      </c>
      <c r="G60" s="58"/>
      <c r="H60" s="53">
        <v>89.7</v>
      </c>
      <c r="I60" s="53">
        <v>74.3</v>
      </c>
      <c r="J60" s="53">
        <v>93.3</v>
      </c>
      <c r="K60" s="53">
        <v>114.7</v>
      </c>
      <c r="L60" s="53">
        <v>115.970079</v>
      </c>
      <c r="M60" s="53">
        <v>118.49190899999999</v>
      </c>
      <c r="N60" s="2"/>
      <c r="O60" s="3"/>
    </row>
    <row r="61" spans="2:15" x14ac:dyDescent="0.2">
      <c r="B61" s="51">
        <v>4006</v>
      </c>
      <c r="C61" s="51" t="s">
        <v>185</v>
      </c>
      <c r="D61" s="51" t="s">
        <v>76</v>
      </c>
      <c r="E61" s="51" t="s">
        <v>183</v>
      </c>
      <c r="F61" s="51" t="s">
        <v>186</v>
      </c>
      <c r="G61" s="58"/>
      <c r="H61" s="52">
        <v>37869.789999999994</v>
      </c>
      <c r="I61" s="52">
        <v>34486</v>
      </c>
      <c r="J61" s="52">
        <v>33260</v>
      </c>
      <c r="K61" s="52">
        <v>34682.332999999999</v>
      </c>
      <c r="L61" s="52">
        <v>35531.173999999999</v>
      </c>
      <c r="M61" s="52">
        <v>35013.532856999998</v>
      </c>
      <c r="N61" s="2"/>
      <c r="O61" s="3"/>
    </row>
    <row r="62" spans="2:15" x14ac:dyDescent="0.2">
      <c r="B62" s="51">
        <v>4007</v>
      </c>
      <c r="C62" s="51" t="s">
        <v>187</v>
      </c>
      <c r="D62" s="51" t="s">
        <v>76</v>
      </c>
      <c r="E62" s="51" t="s">
        <v>183</v>
      </c>
      <c r="F62" s="51" t="s">
        <v>130</v>
      </c>
      <c r="G62" s="58"/>
      <c r="H62" s="70">
        <v>0.16</v>
      </c>
      <c r="I62" s="70"/>
      <c r="J62" s="70"/>
      <c r="K62" s="70">
        <v>0.32804947596900003</v>
      </c>
      <c r="L62" s="70">
        <v>0.34285981424200002</v>
      </c>
      <c r="M62" s="70">
        <v>0.35446546884500002</v>
      </c>
      <c r="N62" s="2"/>
      <c r="O62" s="3"/>
    </row>
    <row r="63" spans="2:15" x14ac:dyDescent="0.2">
      <c r="B63" s="51">
        <v>4008</v>
      </c>
      <c r="C63" s="51" t="s">
        <v>188</v>
      </c>
      <c r="D63" s="51" t="s">
        <v>76</v>
      </c>
      <c r="E63" s="51" t="s">
        <v>134</v>
      </c>
      <c r="F63" s="51" t="s">
        <v>135</v>
      </c>
      <c r="G63" s="58"/>
      <c r="H63" s="52">
        <v>674997</v>
      </c>
      <c r="I63" s="52">
        <v>673869</v>
      </c>
      <c r="J63" s="52">
        <v>675278</v>
      </c>
      <c r="K63" s="52">
        <v>714604</v>
      </c>
      <c r="L63" s="52">
        <v>713848</v>
      </c>
      <c r="M63" s="52">
        <v>720112.22852796712</v>
      </c>
      <c r="N63" s="2"/>
      <c r="O63" s="3"/>
    </row>
    <row r="64" spans="2:15" x14ac:dyDescent="0.2">
      <c r="B64" s="51">
        <v>4009</v>
      </c>
      <c r="C64" s="51" t="s">
        <v>189</v>
      </c>
      <c r="D64" s="51" t="s">
        <v>76</v>
      </c>
      <c r="E64" s="51" t="s">
        <v>134</v>
      </c>
      <c r="F64" s="51" t="s">
        <v>135</v>
      </c>
      <c r="G64" s="58"/>
      <c r="H64" s="52">
        <v>35364</v>
      </c>
      <c r="I64" s="52">
        <v>37156.354685041151</v>
      </c>
      <c r="J64" s="52">
        <v>36214.681964456722</v>
      </c>
      <c r="K64" s="52">
        <v>37181.607839370197</v>
      </c>
      <c r="L64" s="52">
        <v>35952.244757430701</v>
      </c>
      <c r="M64" s="52">
        <v>34088.599682936598</v>
      </c>
      <c r="N64" s="2"/>
      <c r="O64" s="3"/>
    </row>
    <row r="65" spans="2:15" x14ac:dyDescent="0.2">
      <c r="B65" s="51">
        <v>4010</v>
      </c>
      <c r="C65" s="51" t="s">
        <v>190</v>
      </c>
      <c r="D65" s="51" t="s">
        <v>76</v>
      </c>
      <c r="E65" s="51" t="s">
        <v>134</v>
      </c>
      <c r="F65" s="51" t="s">
        <v>135</v>
      </c>
      <c r="G65" s="58"/>
      <c r="H65" s="52">
        <v>3701</v>
      </c>
      <c r="I65" s="52">
        <v>4290</v>
      </c>
      <c r="J65" s="52">
        <v>4397</v>
      </c>
      <c r="K65" s="52">
        <v>2285</v>
      </c>
      <c r="L65" s="52">
        <v>2408</v>
      </c>
      <c r="M65" s="52">
        <v>2347.5261447461198</v>
      </c>
      <c r="N65" s="2"/>
      <c r="O65" s="3"/>
    </row>
    <row r="66" spans="2:15" x14ac:dyDescent="0.2">
      <c r="B66" s="51">
        <v>4011</v>
      </c>
      <c r="C66" s="51" t="s">
        <v>191</v>
      </c>
      <c r="D66" s="51" t="s">
        <v>76</v>
      </c>
      <c r="E66" s="51" t="s">
        <v>134</v>
      </c>
      <c r="F66" s="51" t="s">
        <v>135</v>
      </c>
      <c r="G66" s="58"/>
      <c r="H66" s="52">
        <v>717680</v>
      </c>
      <c r="I66" s="52">
        <v>719892</v>
      </c>
      <c r="J66" s="52">
        <v>719707</v>
      </c>
      <c r="K66" s="52">
        <v>755854</v>
      </c>
      <c r="L66" s="52">
        <v>753553</v>
      </c>
      <c r="M66" s="52">
        <v>757743</v>
      </c>
      <c r="N66" s="2"/>
      <c r="O66" s="3"/>
    </row>
    <row r="67" spans="2:15" x14ac:dyDescent="0.2">
      <c r="B67" s="59"/>
      <c r="C67" s="59" t="s">
        <v>192</v>
      </c>
      <c r="D67" s="59"/>
      <c r="E67" s="59"/>
      <c r="F67" s="59"/>
      <c r="G67" s="59"/>
      <c r="H67" s="59"/>
      <c r="I67" s="59"/>
      <c r="J67" s="59"/>
      <c r="K67" s="59"/>
      <c r="L67" s="59"/>
      <c r="M67" s="59"/>
    </row>
    <row r="68" spans="2:15" x14ac:dyDescent="0.2">
      <c r="B68" s="51">
        <v>5001</v>
      </c>
      <c r="C68" s="51" t="s">
        <v>193</v>
      </c>
      <c r="D68" s="51" t="s">
        <v>194</v>
      </c>
      <c r="E68" s="51" t="s">
        <v>134</v>
      </c>
      <c r="F68" s="51" t="s">
        <v>135</v>
      </c>
      <c r="G68" s="58" t="s">
        <v>195</v>
      </c>
      <c r="H68" s="64">
        <f t="shared" ref="H68:M68" si="2">H50+H51+H52+H66</f>
        <v>1628791</v>
      </c>
      <c r="I68" s="64">
        <f t="shared" si="2"/>
        <v>1761653.5430000001</v>
      </c>
      <c r="J68" s="64">
        <f t="shared" si="2"/>
        <v>1615847.5283758633</v>
      </c>
      <c r="K68" s="64">
        <f t="shared" si="2"/>
        <v>1604125.1272624941</v>
      </c>
      <c r="L68" s="64">
        <f t="shared" si="2"/>
        <v>1606629.5895949767</v>
      </c>
      <c r="M68" s="64">
        <f t="shared" si="2"/>
        <v>1573997.8420622719</v>
      </c>
    </row>
    <row r="69" spans="2:15" x14ac:dyDescent="0.2">
      <c r="B69" s="51">
        <v>5002</v>
      </c>
      <c r="C69" s="51" t="s">
        <v>196</v>
      </c>
      <c r="D69" s="51" t="s">
        <v>194</v>
      </c>
      <c r="E69" s="51" t="s">
        <v>134</v>
      </c>
      <c r="F69" s="51" t="s">
        <v>130</v>
      </c>
      <c r="G69" s="58">
        <v>4291</v>
      </c>
      <c r="H69" s="55">
        <f>H$68/1000/$G69-1</f>
        <v>-0.62041691913306929</v>
      </c>
      <c r="I69" s="55">
        <f t="shared" ref="I69:M70" si="3">I$68/1000/$G69-1</f>
        <v>-0.58945384688883706</v>
      </c>
      <c r="J69" s="55">
        <f t="shared" si="3"/>
        <v>-0.62343334225684854</v>
      </c>
      <c r="K69" s="55">
        <f t="shared" si="3"/>
        <v>-0.62616519989221764</v>
      </c>
      <c r="L69" s="55">
        <f t="shared" si="3"/>
        <v>-0.62558154518877263</v>
      </c>
      <c r="M69" s="55">
        <f t="shared" si="3"/>
        <v>-0.63318624048886696</v>
      </c>
    </row>
    <row r="70" spans="2:15" x14ac:dyDescent="0.2">
      <c r="B70" s="51">
        <v>5003</v>
      </c>
      <c r="C70" s="51" t="s">
        <v>197</v>
      </c>
      <c r="D70" s="51" t="s">
        <v>194</v>
      </c>
      <c r="E70" s="51" t="s">
        <v>134</v>
      </c>
      <c r="F70" s="51" t="s">
        <v>130</v>
      </c>
      <c r="G70" s="58">
        <v>1742</v>
      </c>
      <c r="H70" s="55">
        <f>H$68/1000/$G70-1</f>
        <v>-6.4987944890929961E-2</v>
      </c>
      <c r="I70" s="55">
        <f t="shared" si="3"/>
        <v>1.1282171641791017E-2</v>
      </c>
      <c r="J70" s="55">
        <f t="shared" si="3"/>
        <v>-7.2418181184923491E-2</v>
      </c>
      <c r="K70" s="55">
        <f t="shared" si="3"/>
        <v>-7.9147458517512037E-2</v>
      </c>
      <c r="L70" s="55">
        <f t="shared" si="3"/>
        <v>-7.7709764870851461E-2</v>
      </c>
      <c r="M70" s="55">
        <f t="shared" si="3"/>
        <v>-9.6442111330498292E-2</v>
      </c>
    </row>
    <row r="71" spans="2:15" x14ac:dyDescent="0.2">
      <c r="B71" s="51">
        <v>5004</v>
      </c>
      <c r="C71" s="51" t="s">
        <v>198</v>
      </c>
      <c r="D71" s="51" t="s">
        <v>194</v>
      </c>
      <c r="E71" s="51" t="s">
        <v>134</v>
      </c>
      <c r="F71" s="51" t="s">
        <v>130</v>
      </c>
      <c r="G71" s="58">
        <v>1400</v>
      </c>
      <c r="H71" s="55">
        <f>SUM(H$50:H$52)/1000/$G71-1</f>
        <v>-0.34920642857142858</v>
      </c>
      <c r="I71" s="55">
        <f t="shared" ref="I71:M72" si="4">SUM(I$50:I$52)/1000/$G71-1</f>
        <v>-0.25588461214285729</v>
      </c>
      <c r="J71" s="55">
        <f t="shared" si="4"/>
        <v>-0.35989962258866903</v>
      </c>
      <c r="K71" s="55">
        <f t="shared" si="4"/>
        <v>-0.39409205195536146</v>
      </c>
      <c r="L71" s="55">
        <f t="shared" si="4"/>
        <v>-0.39065957886073088</v>
      </c>
      <c r="M71" s="55">
        <f t="shared" si="4"/>
        <v>-0.41696082709837723</v>
      </c>
    </row>
    <row r="72" spans="2:15" x14ac:dyDescent="0.2">
      <c r="B72" s="51">
        <v>5005</v>
      </c>
      <c r="C72" s="51" t="s">
        <v>199</v>
      </c>
      <c r="D72" s="51" t="s">
        <v>194</v>
      </c>
      <c r="E72" s="51" t="s">
        <v>134</v>
      </c>
      <c r="F72" s="51" t="s">
        <v>130</v>
      </c>
      <c r="G72" s="58">
        <v>934</v>
      </c>
      <c r="H72" s="55">
        <f>SUM(H$50:H$52)/1000/$G72-1</f>
        <v>-2.4506423982869396E-2</v>
      </c>
      <c r="I72" s="55">
        <f t="shared" si="4"/>
        <v>0.11537638436830822</v>
      </c>
      <c r="J72" s="55">
        <f t="shared" si="4"/>
        <v>-4.0534766192865779E-2</v>
      </c>
      <c r="K72" s="55">
        <f t="shared" si="4"/>
        <v>-9.178680164615205E-2</v>
      </c>
      <c r="L72" s="55">
        <f t="shared" si="4"/>
        <v>-8.6641767028932781E-2</v>
      </c>
      <c r="M72" s="55">
        <f t="shared" si="4"/>
        <v>-0.12606547959071535</v>
      </c>
    </row>
    <row r="73" spans="2:15" x14ac:dyDescent="0.2">
      <c r="B73" s="51">
        <v>5006</v>
      </c>
      <c r="C73" s="51" t="s">
        <v>200</v>
      </c>
      <c r="D73" s="51" t="s">
        <v>194</v>
      </c>
      <c r="E73" s="51" t="s">
        <v>134</v>
      </c>
      <c r="F73" s="51" t="s">
        <v>130</v>
      </c>
      <c r="G73" s="58">
        <v>600</v>
      </c>
      <c r="H73" s="55">
        <f>H$66/1000/$G73-1</f>
        <v>0.19613333333333327</v>
      </c>
      <c r="I73" s="55">
        <f t="shared" ref="I73:M74" si="5">I$66/1000/$G73-1</f>
        <v>0.19982000000000011</v>
      </c>
      <c r="J73" s="55">
        <f t="shared" si="5"/>
        <v>0.19951166666666675</v>
      </c>
      <c r="K73" s="55">
        <f t="shared" si="5"/>
        <v>0.25975666666666664</v>
      </c>
      <c r="L73" s="55">
        <f t="shared" si="5"/>
        <v>0.2559216666666666</v>
      </c>
      <c r="M73" s="55">
        <f t="shared" si="5"/>
        <v>0.26290500000000017</v>
      </c>
    </row>
    <row r="74" spans="2:15" x14ac:dyDescent="0.2">
      <c r="B74" s="51">
        <v>5007</v>
      </c>
      <c r="C74" s="51" t="s">
        <v>201</v>
      </c>
      <c r="D74" s="51" t="s">
        <v>194</v>
      </c>
      <c r="E74" s="51" t="s">
        <v>134</v>
      </c>
      <c r="F74" s="51" t="s">
        <v>130</v>
      </c>
      <c r="G74" s="58">
        <v>808</v>
      </c>
      <c r="H74" s="55">
        <f>H$66/1000/$G74-1</f>
        <v>-0.11178217821782188</v>
      </c>
      <c r="I74" s="55">
        <f t="shared" si="5"/>
        <v>-0.10904455445544547</v>
      </c>
      <c r="J74" s="55">
        <f t="shared" si="5"/>
        <v>-0.10927351485148518</v>
      </c>
      <c r="K74" s="55">
        <f t="shared" si="5"/>
        <v>-6.4537128712871206E-2</v>
      </c>
      <c r="L74" s="55">
        <f t="shared" si="5"/>
        <v>-6.7384900990098973E-2</v>
      </c>
      <c r="M74" s="55">
        <f t="shared" si="5"/>
        <v>-6.2199257425742505E-2</v>
      </c>
    </row>
    <row r="75" spans="2:15" x14ac:dyDescent="0.2">
      <c r="B75" s="51">
        <v>5008</v>
      </c>
      <c r="C75" s="51" t="s">
        <v>202</v>
      </c>
      <c r="D75" s="51" t="s">
        <v>194</v>
      </c>
      <c r="E75" s="51" t="s">
        <v>134</v>
      </c>
      <c r="F75" s="51" t="s">
        <v>130</v>
      </c>
      <c r="G75" s="58">
        <v>37.9</v>
      </c>
      <c r="H75" s="55">
        <f t="shared" ref="H75:M75" si="6">SUM(H$23:H$27)/1000/$G75-1</f>
        <v>-1.0554089709762238E-3</v>
      </c>
      <c r="I75" s="55">
        <f t="shared" si="6"/>
        <v>4.5724684078874311E-2</v>
      </c>
      <c r="J75" s="55">
        <f t="shared" si="6"/>
        <v>-6.238767039139903E-2</v>
      </c>
      <c r="K75" s="55">
        <f t="shared" si="6"/>
        <v>-0.22534254771106765</v>
      </c>
      <c r="L75" s="55">
        <f t="shared" si="6"/>
        <v>-0.24699329614748444</v>
      </c>
      <c r="M75" s="55">
        <f t="shared" si="6"/>
        <v>-0.27310524482854304</v>
      </c>
    </row>
    <row r="77" spans="2:15" x14ac:dyDescent="0.2">
      <c r="B77" s="63"/>
      <c r="C77" s="63" t="s">
        <v>203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</row>
    <row r="78" spans="2:15" x14ac:dyDescent="0.2">
      <c r="B78" s="61"/>
      <c r="C78" s="61" t="s">
        <v>204</v>
      </c>
      <c r="D78" s="61" t="s">
        <v>156</v>
      </c>
      <c r="E78" s="61" t="s">
        <v>165</v>
      </c>
      <c r="F78" s="61" t="s">
        <v>130</v>
      </c>
      <c r="G78" s="62"/>
      <c r="H78" s="71">
        <v>0.53356999999999999</v>
      </c>
      <c r="I78" s="71">
        <v>0.51398999999999995</v>
      </c>
      <c r="J78" s="71">
        <v>0.53519000000000005</v>
      </c>
      <c r="K78" s="71">
        <v>0.54317000000000004</v>
      </c>
      <c r="L78" s="71">
        <v>0.55513999999999997</v>
      </c>
      <c r="M78" s="71">
        <v>0.57599999999999996</v>
      </c>
    </row>
  </sheetData>
  <pageMargins left="0.7" right="0.7" top="0.75" bottom="0.75" header="0.3" footer="0.3"/>
  <ignoredErrors>
    <ignoredError sqref="H9:M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F63E-D43F-FB4D-81AF-427C8559938E}">
  <dimension ref="B2:O74"/>
  <sheetViews>
    <sheetView workbookViewId="0">
      <selection sqref="A1:XFD4"/>
    </sheetView>
  </sheetViews>
  <sheetFormatPr baseColWidth="10" defaultColWidth="11" defaultRowHeight="16" x14ac:dyDescent="0.2"/>
  <cols>
    <col min="3" max="3" width="62.83203125" customWidth="1"/>
    <col min="4" max="4" width="19.83203125" customWidth="1"/>
    <col min="5" max="5" width="21.6640625" customWidth="1"/>
    <col min="6" max="6" width="18.83203125" customWidth="1"/>
    <col min="8" max="8" width="51.6640625" style="76" customWidth="1"/>
    <col min="9" max="9" width="28.33203125" customWidth="1"/>
    <col min="10" max="10" width="22" customWidth="1"/>
    <col min="11" max="11" width="21.83203125" customWidth="1"/>
  </cols>
  <sheetData>
    <row r="2" spans="2:11" ht="34" x14ac:dyDescent="0.2">
      <c r="B2" s="56"/>
      <c r="C2" s="56" t="s">
        <v>102</v>
      </c>
      <c r="D2" s="56" t="s">
        <v>103</v>
      </c>
      <c r="E2" s="56" t="s">
        <v>104</v>
      </c>
      <c r="F2" s="56" t="s">
        <v>105</v>
      </c>
      <c r="G2" s="57"/>
      <c r="H2" s="56" t="s">
        <v>207</v>
      </c>
      <c r="I2" s="56" t="s">
        <v>229</v>
      </c>
      <c r="J2" s="56"/>
      <c r="K2" s="56" t="s">
        <v>283</v>
      </c>
    </row>
    <row r="3" spans="2:11" x14ac:dyDescent="0.2">
      <c r="B3" s="59"/>
      <c r="C3" s="59" t="s">
        <v>106</v>
      </c>
      <c r="D3" s="59"/>
      <c r="E3" s="59"/>
      <c r="F3" s="59"/>
      <c r="G3" s="59"/>
    </row>
    <row r="4" spans="2:11" ht="17" x14ac:dyDescent="0.2">
      <c r="B4" s="51">
        <v>1001</v>
      </c>
      <c r="C4" s="51" t="s">
        <v>107</v>
      </c>
      <c r="D4" s="51" t="s">
        <v>108</v>
      </c>
      <c r="E4" s="51" t="s">
        <v>109</v>
      </c>
      <c r="F4" s="51" t="s">
        <v>110</v>
      </c>
      <c r="G4" s="58"/>
      <c r="H4" s="76" t="s">
        <v>206</v>
      </c>
      <c r="J4"/>
    </row>
    <row r="5" spans="2:11" ht="17" x14ac:dyDescent="0.2">
      <c r="B5" s="51">
        <v>1002</v>
      </c>
      <c r="C5" s="51" t="s">
        <v>111</v>
      </c>
      <c r="D5" s="51" t="s">
        <v>108</v>
      </c>
      <c r="E5" s="51" t="s">
        <v>109</v>
      </c>
      <c r="F5" s="51" t="s">
        <v>112</v>
      </c>
      <c r="G5" s="58"/>
      <c r="H5" s="76" t="s">
        <v>210</v>
      </c>
      <c r="J5"/>
    </row>
    <row r="6" spans="2:11" ht="17" x14ac:dyDescent="0.2">
      <c r="B6" s="51">
        <v>1003</v>
      </c>
      <c r="C6" s="51" t="s">
        <v>113</v>
      </c>
      <c r="D6" s="51" t="s">
        <v>108</v>
      </c>
      <c r="E6" s="51" t="s">
        <v>109</v>
      </c>
      <c r="F6" s="51" t="s">
        <v>112</v>
      </c>
      <c r="G6" s="58"/>
      <c r="H6" s="76" t="s">
        <v>210</v>
      </c>
      <c r="J6"/>
    </row>
    <row r="7" spans="2:11" ht="17" x14ac:dyDescent="0.2">
      <c r="B7" s="51">
        <v>1004</v>
      </c>
      <c r="C7" s="51" t="s">
        <v>114</v>
      </c>
      <c r="D7" s="51" t="s">
        <v>108</v>
      </c>
      <c r="E7" s="51" t="s">
        <v>109</v>
      </c>
      <c r="F7" s="51" t="s">
        <v>112</v>
      </c>
      <c r="G7" s="58"/>
      <c r="H7" s="76" t="s">
        <v>210</v>
      </c>
      <c r="J7"/>
    </row>
    <row r="8" spans="2:11" ht="17" x14ac:dyDescent="0.2">
      <c r="B8" s="51">
        <v>1005</v>
      </c>
      <c r="C8" s="51" t="s">
        <v>115</v>
      </c>
      <c r="D8" s="51" t="s">
        <v>108</v>
      </c>
      <c r="E8" s="51" t="s">
        <v>109</v>
      </c>
      <c r="F8" s="51" t="s">
        <v>112</v>
      </c>
      <c r="G8" s="58"/>
      <c r="H8" s="77" t="s">
        <v>210</v>
      </c>
      <c r="J8"/>
    </row>
    <row r="9" spans="2:11" ht="17" x14ac:dyDescent="0.2">
      <c r="B9" s="51">
        <v>1006</v>
      </c>
      <c r="C9" s="51" t="s">
        <v>116</v>
      </c>
      <c r="D9" s="51" t="s">
        <v>108</v>
      </c>
      <c r="E9" s="51" t="s">
        <v>109</v>
      </c>
      <c r="F9" s="51" t="s">
        <v>117</v>
      </c>
      <c r="G9" s="58"/>
      <c r="H9" s="77" t="s">
        <v>211</v>
      </c>
      <c r="J9"/>
    </row>
    <row r="10" spans="2:11" ht="17" x14ac:dyDescent="0.2">
      <c r="B10" s="51">
        <v>1007</v>
      </c>
      <c r="C10" s="51" t="s">
        <v>118</v>
      </c>
      <c r="D10" s="51" t="s">
        <v>108</v>
      </c>
      <c r="E10" s="51" t="s">
        <v>109</v>
      </c>
      <c r="F10" s="51" t="s">
        <v>117</v>
      </c>
      <c r="G10" s="58"/>
      <c r="H10" s="77" t="s">
        <v>212</v>
      </c>
      <c r="J10"/>
    </row>
    <row r="11" spans="2:11" ht="17" x14ac:dyDescent="0.2">
      <c r="B11" s="51">
        <v>1008</v>
      </c>
      <c r="C11" s="51" t="s">
        <v>119</v>
      </c>
      <c r="D11" s="51" t="s">
        <v>108</v>
      </c>
      <c r="E11" s="51" t="s">
        <v>109</v>
      </c>
      <c r="F11" s="51" t="s">
        <v>120</v>
      </c>
      <c r="G11" s="58"/>
      <c r="H11" s="77" t="s">
        <v>213</v>
      </c>
      <c r="J11"/>
    </row>
    <row r="12" spans="2:11" ht="34" x14ac:dyDescent="0.2">
      <c r="B12" s="51">
        <v>1009</v>
      </c>
      <c r="C12" s="51" t="s">
        <v>121</v>
      </c>
      <c r="D12" s="51" t="s">
        <v>108</v>
      </c>
      <c r="E12" s="51" t="s">
        <v>109</v>
      </c>
      <c r="F12" s="51" t="s">
        <v>122</v>
      </c>
      <c r="G12" s="58"/>
      <c r="H12" s="77" t="s">
        <v>256</v>
      </c>
      <c r="J12" s="74"/>
      <c r="K12" t="s">
        <v>214</v>
      </c>
    </row>
    <row r="13" spans="2:11" ht="17" x14ac:dyDescent="0.2">
      <c r="B13" s="51">
        <v>1010</v>
      </c>
      <c r="C13" s="51" t="s">
        <v>123</v>
      </c>
      <c r="D13" s="51" t="s">
        <v>108</v>
      </c>
      <c r="E13" s="51" t="s">
        <v>109</v>
      </c>
      <c r="F13" s="51" t="s">
        <v>124</v>
      </c>
      <c r="G13" s="58"/>
      <c r="H13" s="76" t="s">
        <v>215</v>
      </c>
      <c r="J13"/>
    </row>
    <row r="14" spans="2:11" ht="17" x14ac:dyDescent="0.2">
      <c r="B14" s="51">
        <v>1011</v>
      </c>
      <c r="C14" s="51" t="s">
        <v>125</v>
      </c>
      <c r="D14" s="51" t="s">
        <v>108</v>
      </c>
      <c r="E14" s="51" t="s">
        <v>126</v>
      </c>
      <c r="F14" s="51" t="s">
        <v>112</v>
      </c>
      <c r="G14" s="58"/>
      <c r="H14" s="76" t="s">
        <v>215</v>
      </c>
      <c r="J14"/>
      <c r="K14" t="s">
        <v>218</v>
      </c>
    </row>
    <row r="15" spans="2:11" ht="17" x14ac:dyDescent="0.2">
      <c r="B15" s="51">
        <v>1012</v>
      </c>
      <c r="C15" s="51" t="s">
        <v>127</v>
      </c>
      <c r="D15" s="51" t="s">
        <v>108</v>
      </c>
      <c r="E15" s="51" t="s">
        <v>126</v>
      </c>
      <c r="F15" s="51" t="s">
        <v>128</v>
      </c>
      <c r="G15" s="58"/>
      <c r="H15" s="76" t="s">
        <v>216</v>
      </c>
      <c r="J15" s="2"/>
    </row>
    <row r="16" spans="2:11" ht="17" x14ac:dyDescent="0.2">
      <c r="B16" s="51">
        <v>1013</v>
      </c>
      <c r="C16" s="51" t="s">
        <v>129</v>
      </c>
      <c r="D16" s="51" t="s">
        <v>108</v>
      </c>
      <c r="E16" s="51" t="s">
        <v>126</v>
      </c>
      <c r="F16" s="51" t="s">
        <v>130</v>
      </c>
      <c r="G16" s="58"/>
      <c r="H16" s="76" t="s">
        <v>219</v>
      </c>
      <c r="J16" s="2"/>
    </row>
    <row r="17" spans="2:15" ht="17" x14ac:dyDescent="0.2">
      <c r="B17" s="51">
        <v>1014</v>
      </c>
      <c r="C17" s="51" t="s">
        <v>131</v>
      </c>
      <c r="D17" s="51" t="s">
        <v>108</v>
      </c>
      <c r="E17" s="51" t="s">
        <v>76</v>
      </c>
      <c r="F17" s="51" t="s">
        <v>110</v>
      </c>
      <c r="G17" s="58"/>
      <c r="H17" s="76" t="s">
        <v>220</v>
      </c>
      <c r="J17" s="2"/>
      <c r="K17" t="s">
        <v>282</v>
      </c>
    </row>
    <row r="18" spans="2:15" ht="17" x14ac:dyDescent="0.2">
      <c r="B18" s="51">
        <v>1015</v>
      </c>
      <c r="C18" s="51" t="s">
        <v>132</v>
      </c>
      <c r="D18" s="51" t="s">
        <v>108</v>
      </c>
      <c r="E18" s="51" t="s">
        <v>76</v>
      </c>
      <c r="F18" s="51" t="s">
        <v>130</v>
      </c>
      <c r="G18" s="58"/>
      <c r="H18" s="77" t="s">
        <v>220</v>
      </c>
      <c r="J18" s="2"/>
      <c r="K18" t="s">
        <v>282</v>
      </c>
    </row>
    <row r="19" spans="2:15" ht="17" x14ac:dyDescent="0.2">
      <c r="B19" s="51">
        <v>1016</v>
      </c>
      <c r="C19" s="51" t="s">
        <v>133</v>
      </c>
      <c r="D19" s="51" t="s">
        <v>108</v>
      </c>
      <c r="E19" s="51" t="s">
        <v>134</v>
      </c>
      <c r="F19" s="51" t="s">
        <v>135</v>
      </c>
      <c r="G19" s="58"/>
      <c r="H19" s="77" t="s">
        <v>222</v>
      </c>
      <c r="J19" s="2"/>
    </row>
    <row r="20" spans="2:15" ht="17" x14ac:dyDescent="0.2">
      <c r="B20" s="51">
        <v>1017</v>
      </c>
      <c r="C20" s="51" t="s">
        <v>136</v>
      </c>
      <c r="D20" s="51" t="s">
        <v>108</v>
      </c>
      <c r="E20" s="51" t="s">
        <v>134</v>
      </c>
      <c r="F20" s="51" t="s">
        <v>135</v>
      </c>
      <c r="G20" s="58"/>
      <c r="H20" s="77" t="s">
        <v>225</v>
      </c>
      <c r="J20" s="2"/>
    </row>
    <row r="21" spans="2:15" ht="17" x14ac:dyDescent="0.2">
      <c r="B21" s="51">
        <v>1018</v>
      </c>
      <c r="C21" s="51" t="s">
        <v>137</v>
      </c>
      <c r="D21" s="51" t="s">
        <v>108</v>
      </c>
      <c r="E21" s="51" t="s">
        <v>134</v>
      </c>
      <c r="F21" s="51" t="s">
        <v>135</v>
      </c>
      <c r="G21" s="58"/>
      <c r="H21" s="77" t="s">
        <v>222</v>
      </c>
      <c r="J21" s="2"/>
    </row>
    <row r="22" spans="2:15" ht="17" x14ac:dyDescent="0.2">
      <c r="B22" s="51">
        <v>1019</v>
      </c>
      <c r="C22" s="51" t="s">
        <v>138</v>
      </c>
      <c r="D22" s="51" t="s">
        <v>108</v>
      </c>
      <c r="E22" s="51" t="s">
        <v>134</v>
      </c>
      <c r="F22" s="51" t="s">
        <v>135</v>
      </c>
      <c r="G22" s="58"/>
      <c r="H22" s="76" t="s">
        <v>222</v>
      </c>
      <c r="J22" s="2"/>
    </row>
    <row r="23" spans="2:15" ht="34" x14ac:dyDescent="0.2">
      <c r="B23" s="51">
        <v>1020</v>
      </c>
      <c r="C23" s="51" t="s">
        <v>139</v>
      </c>
      <c r="D23" s="51" t="s">
        <v>108</v>
      </c>
      <c r="E23" s="51" t="s">
        <v>134</v>
      </c>
      <c r="F23" s="51" t="s">
        <v>135</v>
      </c>
      <c r="G23" s="58"/>
      <c r="H23" s="77" t="s">
        <v>223</v>
      </c>
      <c r="J23" s="2"/>
      <c r="K23" t="s">
        <v>282</v>
      </c>
    </row>
    <row r="24" spans="2:15" ht="17" x14ac:dyDescent="0.2">
      <c r="B24" s="51">
        <v>1021</v>
      </c>
      <c r="C24" s="51" t="s">
        <v>140</v>
      </c>
      <c r="D24" s="51" t="s">
        <v>108</v>
      </c>
      <c r="E24" s="51" t="s">
        <v>134</v>
      </c>
      <c r="F24" s="51" t="s">
        <v>135</v>
      </c>
      <c r="G24" s="58"/>
      <c r="H24" s="77" t="s">
        <v>226</v>
      </c>
      <c r="J24" s="2"/>
    </row>
    <row r="25" spans="2:15" x14ac:dyDescent="0.2">
      <c r="B25" s="59"/>
      <c r="C25" s="59" t="s">
        <v>141</v>
      </c>
      <c r="D25" s="59"/>
      <c r="E25" s="59"/>
      <c r="F25" s="59"/>
      <c r="G25" s="59"/>
      <c r="H25" s="77"/>
      <c r="J25" s="2"/>
    </row>
    <row r="26" spans="2:15" ht="34" x14ac:dyDescent="0.2">
      <c r="B26" s="51">
        <v>2001</v>
      </c>
      <c r="C26" s="68" t="s">
        <v>205</v>
      </c>
      <c r="D26" s="51" t="s">
        <v>47</v>
      </c>
      <c r="E26" s="51" t="s">
        <v>142</v>
      </c>
      <c r="F26" s="51" t="s">
        <v>112</v>
      </c>
      <c r="G26" s="58"/>
      <c r="H26" s="77" t="s">
        <v>230</v>
      </c>
      <c r="I26" s="66"/>
      <c r="J26" s="2"/>
    </row>
    <row r="27" spans="2:15" ht="51" x14ac:dyDescent="0.2">
      <c r="B27" s="51">
        <v>2002</v>
      </c>
      <c r="C27" s="51" t="s">
        <v>143</v>
      </c>
      <c r="D27" s="51" t="s">
        <v>47</v>
      </c>
      <c r="E27" s="51" t="s">
        <v>142</v>
      </c>
      <c r="F27" s="51" t="s">
        <v>117</v>
      </c>
      <c r="G27" s="58"/>
      <c r="H27" s="77" t="s">
        <v>257</v>
      </c>
      <c r="J27" s="2"/>
    </row>
    <row r="28" spans="2:15" ht="51" x14ac:dyDescent="0.2">
      <c r="B28" s="51">
        <v>2003</v>
      </c>
      <c r="C28" s="51" t="s">
        <v>144</v>
      </c>
      <c r="D28" s="51" t="s">
        <v>47</v>
      </c>
      <c r="E28" s="51" t="s">
        <v>142</v>
      </c>
      <c r="F28" s="51" t="s">
        <v>117</v>
      </c>
      <c r="G28" s="58"/>
      <c r="H28" s="77" t="s">
        <v>258</v>
      </c>
      <c r="J28" s="2"/>
    </row>
    <row r="29" spans="2:15" ht="17" x14ac:dyDescent="0.2">
      <c r="B29" s="51">
        <v>2004</v>
      </c>
      <c r="C29" s="51" t="s">
        <v>145</v>
      </c>
      <c r="D29" s="51" t="s">
        <v>47</v>
      </c>
      <c r="E29" s="51" t="s">
        <v>146</v>
      </c>
      <c r="F29" s="51" t="s">
        <v>147</v>
      </c>
      <c r="G29" s="58"/>
      <c r="H29" s="77" t="s">
        <v>231</v>
      </c>
      <c r="J29" s="2"/>
    </row>
    <row r="30" spans="2:15" ht="17" x14ac:dyDescent="0.2">
      <c r="B30" s="51">
        <v>2005</v>
      </c>
      <c r="C30" s="51" t="s">
        <v>148</v>
      </c>
      <c r="D30" s="51" t="s">
        <v>47</v>
      </c>
      <c r="E30" s="51" t="s">
        <v>146</v>
      </c>
      <c r="F30" s="51" t="s">
        <v>149</v>
      </c>
      <c r="G30" s="58"/>
      <c r="H30" s="77" t="s">
        <v>232</v>
      </c>
      <c r="J30" s="2"/>
      <c r="K30" s="5"/>
      <c r="L30" s="5"/>
      <c r="M30" s="5"/>
      <c r="N30" s="5"/>
      <c r="O30" s="5"/>
    </row>
    <row r="31" spans="2:15" ht="17" x14ac:dyDescent="0.2">
      <c r="B31" s="51">
        <v>2006</v>
      </c>
      <c r="C31" s="51" t="s">
        <v>150</v>
      </c>
      <c r="D31" s="51" t="s">
        <v>47</v>
      </c>
      <c r="E31" s="51" t="s">
        <v>146</v>
      </c>
      <c r="F31" s="51" t="s">
        <v>151</v>
      </c>
      <c r="G31" s="58"/>
      <c r="H31" s="77" t="s">
        <v>233</v>
      </c>
      <c r="J31" s="2"/>
      <c r="K31" s="4"/>
      <c r="L31" s="4"/>
      <c r="M31" s="4"/>
      <c r="N31" s="4"/>
      <c r="O31" s="4"/>
    </row>
    <row r="32" spans="2:15" ht="17" x14ac:dyDescent="0.2">
      <c r="B32" s="51">
        <v>2007</v>
      </c>
      <c r="C32" s="51" t="s">
        <v>152</v>
      </c>
      <c r="D32" s="51" t="s">
        <v>47</v>
      </c>
      <c r="E32" s="51" t="s">
        <v>134</v>
      </c>
      <c r="F32" s="51" t="s">
        <v>135</v>
      </c>
      <c r="G32" s="58"/>
      <c r="H32" s="77" t="s">
        <v>234</v>
      </c>
      <c r="J32" s="4"/>
      <c r="K32" s="4"/>
      <c r="L32" s="4"/>
      <c r="M32" s="4"/>
      <c r="N32" s="4"/>
      <c r="O32" s="4"/>
    </row>
    <row r="33" spans="2:15" ht="17" x14ac:dyDescent="0.2">
      <c r="B33" s="51">
        <v>2008</v>
      </c>
      <c r="C33" s="51" t="s">
        <v>153</v>
      </c>
      <c r="D33" s="51" t="s">
        <v>47</v>
      </c>
      <c r="E33" s="51" t="s">
        <v>134</v>
      </c>
      <c r="F33" s="51" t="s">
        <v>135</v>
      </c>
      <c r="G33" s="58"/>
      <c r="H33" s="77" t="s">
        <v>234</v>
      </c>
      <c r="J33" s="4"/>
      <c r="K33" s="4"/>
      <c r="L33" s="4"/>
      <c r="M33" s="4"/>
      <c r="N33" s="4"/>
      <c r="O33" s="4"/>
    </row>
    <row r="34" spans="2:15" x14ac:dyDescent="0.2">
      <c r="B34" s="59"/>
      <c r="C34" s="59" t="s">
        <v>154</v>
      </c>
      <c r="D34" s="59"/>
      <c r="E34" s="59"/>
      <c r="F34" s="59"/>
      <c r="G34" s="59"/>
      <c r="H34" s="77"/>
    </row>
    <row r="35" spans="2:15" ht="17" x14ac:dyDescent="0.2">
      <c r="B35" s="51">
        <v>3001</v>
      </c>
      <c r="C35" s="51" t="s">
        <v>155</v>
      </c>
      <c r="D35" s="51" t="s">
        <v>156</v>
      </c>
      <c r="E35" s="51" t="s">
        <v>142</v>
      </c>
      <c r="F35" s="51" t="s">
        <v>157</v>
      </c>
      <c r="G35" s="58"/>
      <c r="H35" s="77" t="s">
        <v>235</v>
      </c>
      <c r="I35" s="3"/>
      <c r="J35"/>
    </row>
    <row r="36" spans="2:15" ht="17" x14ac:dyDescent="0.2">
      <c r="B36" s="51">
        <v>3002</v>
      </c>
      <c r="C36" s="51" t="s">
        <v>158</v>
      </c>
      <c r="D36" s="51" t="s">
        <v>156</v>
      </c>
      <c r="E36" s="51" t="s">
        <v>142</v>
      </c>
      <c r="F36" s="51" t="s">
        <v>130</v>
      </c>
      <c r="G36" s="58"/>
      <c r="H36" s="77" t="s">
        <v>235</v>
      </c>
      <c r="I36" s="3"/>
      <c r="J36"/>
    </row>
    <row r="37" spans="2:15" ht="17" x14ac:dyDescent="0.2">
      <c r="B37" s="51">
        <v>3003</v>
      </c>
      <c r="C37" s="51" t="s">
        <v>159</v>
      </c>
      <c r="D37" s="51" t="s">
        <v>156</v>
      </c>
      <c r="E37" s="51" t="s">
        <v>160</v>
      </c>
      <c r="F37" s="51" t="s">
        <v>157</v>
      </c>
      <c r="G37" s="58"/>
      <c r="H37" s="77" t="s">
        <v>236</v>
      </c>
      <c r="I37" s="3"/>
      <c r="J37"/>
    </row>
    <row r="38" spans="2:15" ht="17" x14ac:dyDescent="0.2">
      <c r="B38" s="51">
        <v>3004</v>
      </c>
      <c r="C38" s="51" t="s">
        <v>161</v>
      </c>
      <c r="D38" s="51" t="s">
        <v>156</v>
      </c>
      <c r="E38" s="51" t="s">
        <v>160</v>
      </c>
      <c r="F38" s="51" t="s">
        <v>157</v>
      </c>
      <c r="G38" s="58"/>
      <c r="H38" s="77" t="s">
        <v>236</v>
      </c>
      <c r="I38" s="3"/>
      <c r="J38"/>
    </row>
    <row r="39" spans="2:15" ht="17" x14ac:dyDescent="0.2">
      <c r="B39" s="51">
        <v>3005</v>
      </c>
      <c r="C39" s="51" t="s">
        <v>162</v>
      </c>
      <c r="D39" s="51" t="s">
        <v>156</v>
      </c>
      <c r="E39" s="51" t="s">
        <v>163</v>
      </c>
      <c r="F39" s="51" t="s">
        <v>157</v>
      </c>
      <c r="G39" s="58"/>
      <c r="H39" s="77" t="s">
        <v>236</v>
      </c>
      <c r="I39" s="3"/>
      <c r="J39"/>
    </row>
    <row r="40" spans="2:15" ht="68" x14ac:dyDescent="0.2">
      <c r="B40" s="51">
        <v>3006</v>
      </c>
      <c r="C40" s="51" t="s">
        <v>244</v>
      </c>
      <c r="D40" s="51" t="s">
        <v>156</v>
      </c>
      <c r="E40" s="51" t="s">
        <v>160</v>
      </c>
      <c r="F40" s="51" t="s">
        <v>130</v>
      </c>
      <c r="G40" s="58"/>
      <c r="H40" s="77" t="s">
        <v>246</v>
      </c>
      <c r="J40"/>
    </row>
    <row r="41" spans="2:15" ht="68" x14ac:dyDescent="0.2">
      <c r="B41" s="51">
        <v>3007</v>
      </c>
      <c r="C41" s="51" t="s">
        <v>245</v>
      </c>
      <c r="D41" s="51" t="s">
        <v>156</v>
      </c>
      <c r="E41" s="51" t="s">
        <v>160</v>
      </c>
      <c r="F41" s="51" t="s">
        <v>130</v>
      </c>
      <c r="G41" s="58"/>
      <c r="H41" s="77" t="s">
        <v>247</v>
      </c>
      <c r="J41"/>
    </row>
    <row r="42" spans="2:15" ht="34" x14ac:dyDescent="0.2">
      <c r="B42" s="51">
        <v>3008</v>
      </c>
      <c r="C42" s="51" t="s">
        <v>164</v>
      </c>
      <c r="D42" s="51" t="s">
        <v>156</v>
      </c>
      <c r="E42" s="51" t="s">
        <v>165</v>
      </c>
      <c r="F42" s="51" t="s">
        <v>157</v>
      </c>
      <c r="G42" s="58"/>
      <c r="H42" s="77" t="s">
        <v>250</v>
      </c>
      <c r="I42" s="3"/>
      <c r="J42"/>
    </row>
    <row r="43" spans="2:15" ht="17" x14ac:dyDescent="0.2">
      <c r="B43" s="51">
        <v>3009</v>
      </c>
      <c r="C43" s="51" t="s">
        <v>166</v>
      </c>
      <c r="D43" s="51" t="s">
        <v>156</v>
      </c>
      <c r="E43" s="51" t="s">
        <v>165</v>
      </c>
      <c r="F43" s="51" t="s">
        <v>130</v>
      </c>
      <c r="G43" s="58"/>
      <c r="H43" s="77" t="s">
        <v>238</v>
      </c>
      <c r="I43" s="3" t="s">
        <v>242</v>
      </c>
      <c r="J43"/>
    </row>
    <row r="44" spans="2:15" ht="17" x14ac:dyDescent="0.2">
      <c r="B44" s="51">
        <v>3010</v>
      </c>
      <c r="C44" s="51" t="s">
        <v>167</v>
      </c>
      <c r="D44" s="51" t="s">
        <v>156</v>
      </c>
      <c r="E44" s="51" t="s">
        <v>165</v>
      </c>
      <c r="F44" s="51" t="s">
        <v>157</v>
      </c>
      <c r="G44" s="58"/>
      <c r="H44" s="77" t="s">
        <v>238</v>
      </c>
      <c r="I44" s="3" t="s">
        <v>241</v>
      </c>
      <c r="J44"/>
    </row>
    <row r="45" spans="2:15" ht="17" x14ac:dyDescent="0.2">
      <c r="B45" s="51">
        <v>3011</v>
      </c>
      <c r="C45" s="51" t="s">
        <v>168</v>
      </c>
      <c r="D45" s="51" t="s">
        <v>156</v>
      </c>
      <c r="E45" s="51" t="s">
        <v>169</v>
      </c>
      <c r="F45" s="51" t="s">
        <v>110</v>
      </c>
      <c r="G45" s="58"/>
      <c r="H45" s="77" t="s">
        <v>239</v>
      </c>
      <c r="I45" s="3" t="s">
        <v>240</v>
      </c>
      <c r="J45"/>
    </row>
    <row r="46" spans="2:15" ht="34" x14ac:dyDescent="0.2">
      <c r="B46" s="51">
        <v>3012</v>
      </c>
      <c r="C46" s="51" t="s">
        <v>170</v>
      </c>
      <c r="D46" s="51" t="s">
        <v>156</v>
      </c>
      <c r="E46" s="51" t="s">
        <v>134</v>
      </c>
      <c r="F46" s="51" t="s">
        <v>135</v>
      </c>
      <c r="G46" s="58"/>
      <c r="H46" s="77" t="s">
        <v>259</v>
      </c>
      <c r="I46" s="3"/>
      <c r="J46"/>
    </row>
    <row r="47" spans="2:15" ht="51" x14ac:dyDescent="0.2">
      <c r="B47" s="51">
        <v>3013</v>
      </c>
      <c r="C47" s="51" t="s">
        <v>171</v>
      </c>
      <c r="D47" s="51" t="s">
        <v>156</v>
      </c>
      <c r="E47" s="51" t="s">
        <v>134</v>
      </c>
      <c r="F47" s="51" t="s">
        <v>135</v>
      </c>
      <c r="G47" s="58"/>
      <c r="H47" s="77" t="s">
        <v>260</v>
      </c>
      <c r="I47" s="3"/>
      <c r="J47"/>
    </row>
    <row r="48" spans="2:15" ht="34" x14ac:dyDescent="0.2">
      <c r="B48" s="51">
        <v>3014</v>
      </c>
      <c r="C48" s="51" t="s">
        <v>172</v>
      </c>
      <c r="D48" s="51" t="s">
        <v>156</v>
      </c>
      <c r="E48" s="51" t="s">
        <v>134</v>
      </c>
      <c r="F48" s="51" t="s">
        <v>135</v>
      </c>
      <c r="G48" s="58"/>
      <c r="H48" s="77" t="s">
        <v>261</v>
      </c>
      <c r="I48" s="3"/>
      <c r="J48"/>
    </row>
    <row r="49" spans="2:10" ht="51" x14ac:dyDescent="0.2">
      <c r="B49" s="51">
        <v>3015</v>
      </c>
      <c r="C49" s="51" t="s">
        <v>173</v>
      </c>
      <c r="D49" s="51" t="s">
        <v>156</v>
      </c>
      <c r="E49" s="51" t="s">
        <v>134</v>
      </c>
      <c r="F49" s="51" t="s">
        <v>135</v>
      </c>
      <c r="G49" s="58"/>
      <c r="H49" s="77" t="s">
        <v>262</v>
      </c>
      <c r="I49" s="3"/>
      <c r="J49"/>
    </row>
    <row r="50" spans="2:10" ht="32" customHeight="1" x14ac:dyDescent="0.2">
      <c r="B50" s="51">
        <v>3016</v>
      </c>
      <c r="C50" s="65" t="s">
        <v>174</v>
      </c>
      <c r="D50" s="51" t="s">
        <v>156</v>
      </c>
      <c r="E50" s="51" t="s">
        <v>134</v>
      </c>
      <c r="F50" s="51" t="s">
        <v>135</v>
      </c>
      <c r="G50" s="58"/>
      <c r="H50" s="77" t="s">
        <v>263</v>
      </c>
      <c r="I50" s="3"/>
      <c r="J50"/>
    </row>
    <row r="51" spans="2:10" x14ac:dyDescent="0.2">
      <c r="B51" s="59"/>
      <c r="C51" s="59" t="s">
        <v>175</v>
      </c>
      <c r="D51" s="59"/>
      <c r="E51" s="59"/>
      <c r="F51" s="59"/>
      <c r="G51" s="59"/>
      <c r="H51" s="77"/>
      <c r="I51" s="3"/>
    </row>
    <row r="52" spans="2:10" ht="17" x14ac:dyDescent="0.2">
      <c r="B52" s="51">
        <v>4001</v>
      </c>
      <c r="C52" s="51" t="s">
        <v>176</v>
      </c>
      <c r="D52" s="51" t="s">
        <v>76</v>
      </c>
      <c r="E52" s="51" t="s">
        <v>177</v>
      </c>
      <c r="F52" s="51" t="s">
        <v>110</v>
      </c>
      <c r="G52" s="58"/>
      <c r="H52" s="77" t="s">
        <v>264</v>
      </c>
      <c r="I52" s="3"/>
    </row>
    <row r="53" spans="2:10" ht="34" x14ac:dyDescent="0.2">
      <c r="B53" s="51">
        <v>4002</v>
      </c>
      <c r="C53" s="51" t="s">
        <v>178</v>
      </c>
      <c r="D53" s="51" t="s">
        <v>76</v>
      </c>
      <c r="E53" s="51" t="s">
        <v>177</v>
      </c>
      <c r="F53" s="51" t="s">
        <v>110</v>
      </c>
      <c r="G53" s="58"/>
      <c r="H53" s="77" t="s">
        <v>265</v>
      </c>
      <c r="I53" s="3"/>
    </row>
    <row r="54" spans="2:10" ht="34" x14ac:dyDescent="0.2">
      <c r="B54" s="51">
        <v>4003</v>
      </c>
      <c r="C54" s="51" t="s">
        <v>179</v>
      </c>
      <c r="D54" s="51" t="s">
        <v>76</v>
      </c>
      <c r="E54" s="51" t="s">
        <v>177</v>
      </c>
      <c r="F54" s="51" t="s">
        <v>110</v>
      </c>
      <c r="G54" s="58"/>
      <c r="H54" s="77" t="s">
        <v>266</v>
      </c>
      <c r="I54" s="75" t="s">
        <v>284</v>
      </c>
    </row>
    <row r="55" spans="2:10" ht="34" x14ac:dyDescent="0.2">
      <c r="B55" s="51">
        <v>4004</v>
      </c>
      <c r="C55" s="51" t="s">
        <v>180</v>
      </c>
      <c r="D55" s="51" t="s">
        <v>76</v>
      </c>
      <c r="E55" s="51" t="s">
        <v>177</v>
      </c>
      <c r="F55" s="51" t="s">
        <v>181</v>
      </c>
      <c r="G55" s="58"/>
      <c r="H55" s="77" t="s">
        <v>267</v>
      </c>
      <c r="I55" s="3"/>
      <c r="J55"/>
    </row>
    <row r="56" spans="2:10" ht="34" x14ac:dyDescent="0.2">
      <c r="B56" s="51">
        <v>4005</v>
      </c>
      <c r="C56" s="51" t="s">
        <v>182</v>
      </c>
      <c r="D56" s="51" t="s">
        <v>76</v>
      </c>
      <c r="E56" s="51" t="s">
        <v>183</v>
      </c>
      <c r="F56" s="51" t="s">
        <v>184</v>
      </c>
      <c r="G56" s="58"/>
      <c r="H56" s="77" t="s">
        <v>268</v>
      </c>
      <c r="I56" s="3"/>
    </row>
    <row r="57" spans="2:10" ht="34" x14ac:dyDescent="0.2">
      <c r="B57" s="51">
        <v>4006</v>
      </c>
      <c r="C57" s="51" t="s">
        <v>185</v>
      </c>
      <c r="D57" s="51" t="s">
        <v>76</v>
      </c>
      <c r="E57" s="51" t="s">
        <v>183</v>
      </c>
      <c r="F57" s="51" t="s">
        <v>186</v>
      </c>
      <c r="G57" s="58"/>
      <c r="H57" s="77" t="s">
        <v>269</v>
      </c>
      <c r="I57" s="3"/>
    </row>
    <row r="58" spans="2:10" ht="34" x14ac:dyDescent="0.2">
      <c r="B58" s="51">
        <v>4007</v>
      </c>
      <c r="C58" s="51" t="s">
        <v>187</v>
      </c>
      <c r="D58" s="51" t="s">
        <v>76</v>
      </c>
      <c r="E58" s="51" t="s">
        <v>183</v>
      </c>
      <c r="F58" s="51" t="s">
        <v>130</v>
      </c>
      <c r="G58" s="58"/>
      <c r="H58" s="77" t="s">
        <v>270</v>
      </c>
      <c r="I58" s="3"/>
    </row>
    <row r="59" spans="2:10" ht="34" x14ac:dyDescent="0.2">
      <c r="B59" s="51">
        <v>4008</v>
      </c>
      <c r="C59" s="51" t="s">
        <v>188</v>
      </c>
      <c r="D59" s="51" t="s">
        <v>76</v>
      </c>
      <c r="E59" s="51" t="s">
        <v>134</v>
      </c>
      <c r="F59" s="51" t="s">
        <v>135</v>
      </c>
      <c r="G59" s="58"/>
      <c r="H59" s="77" t="s">
        <v>271</v>
      </c>
      <c r="I59" s="3"/>
    </row>
    <row r="60" spans="2:10" ht="34" x14ac:dyDescent="0.2">
      <c r="B60" s="51">
        <v>4009</v>
      </c>
      <c r="C60" s="51" t="s">
        <v>189</v>
      </c>
      <c r="D60" s="51" t="s">
        <v>76</v>
      </c>
      <c r="E60" s="51" t="s">
        <v>134</v>
      </c>
      <c r="F60" s="51" t="s">
        <v>135</v>
      </c>
      <c r="G60" s="58"/>
      <c r="H60" s="77" t="s">
        <v>272</v>
      </c>
      <c r="I60" s="3"/>
    </row>
    <row r="61" spans="2:10" ht="34" x14ac:dyDescent="0.2">
      <c r="B61" s="51">
        <v>4010</v>
      </c>
      <c r="C61" s="51" t="s">
        <v>190</v>
      </c>
      <c r="D61" s="51" t="s">
        <v>76</v>
      </c>
      <c r="E61" s="51" t="s">
        <v>134</v>
      </c>
      <c r="F61" s="51" t="s">
        <v>135</v>
      </c>
      <c r="G61" s="58"/>
      <c r="H61" s="77" t="s">
        <v>273</v>
      </c>
      <c r="I61" s="3"/>
    </row>
    <row r="62" spans="2:10" ht="17" x14ac:dyDescent="0.2">
      <c r="B62" s="51">
        <v>4011</v>
      </c>
      <c r="C62" s="51" t="s">
        <v>191</v>
      </c>
      <c r="D62" s="51" t="s">
        <v>76</v>
      </c>
      <c r="E62" s="51" t="s">
        <v>134</v>
      </c>
      <c r="F62" s="51" t="s">
        <v>135</v>
      </c>
      <c r="G62" s="58"/>
      <c r="H62" s="77" t="s">
        <v>274</v>
      </c>
      <c r="I62" s="3"/>
    </row>
    <row r="63" spans="2:10" x14ac:dyDescent="0.2">
      <c r="B63" s="59"/>
      <c r="C63" s="59" t="s">
        <v>192</v>
      </c>
      <c r="D63" s="59"/>
      <c r="E63" s="59"/>
      <c r="F63" s="59"/>
      <c r="G63" s="59"/>
    </row>
    <row r="64" spans="2:10" ht="17" x14ac:dyDescent="0.2">
      <c r="B64" s="51">
        <v>5001</v>
      </c>
      <c r="C64" s="51" t="s">
        <v>193</v>
      </c>
      <c r="D64" s="51" t="s">
        <v>194</v>
      </c>
      <c r="E64" s="51" t="s">
        <v>134</v>
      </c>
      <c r="F64" s="51" t="s">
        <v>135</v>
      </c>
      <c r="G64" s="58" t="s">
        <v>195</v>
      </c>
      <c r="H64" s="78" t="s">
        <v>243</v>
      </c>
      <c r="J64"/>
    </row>
    <row r="65" spans="2:10" ht="34" x14ac:dyDescent="0.2">
      <c r="B65" s="51">
        <v>5002</v>
      </c>
      <c r="C65" s="51" t="s">
        <v>196</v>
      </c>
      <c r="D65" s="51" t="s">
        <v>194</v>
      </c>
      <c r="E65" s="51" t="s">
        <v>134</v>
      </c>
      <c r="F65" s="51" t="s">
        <v>130</v>
      </c>
      <c r="G65" s="58">
        <v>4291</v>
      </c>
      <c r="H65" s="77" t="s">
        <v>275</v>
      </c>
      <c r="J65"/>
    </row>
    <row r="66" spans="2:10" ht="34" x14ac:dyDescent="0.2">
      <c r="B66" s="51">
        <v>5003</v>
      </c>
      <c r="C66" s="51" t="s">
        <v>197</v>
      </c>
      <c r="D66" s="51" t="s">
        <v>194</v>
      </c>
      <c r="E66" s="51" t="s">
        <v>134</v>
      </c>
      <c r="F66" s="51" t="s">
        <v>130</v>
      </c>
      <c r="G66" s="58">
        <v>1742</v>
      </c>
      <c r="H66" s="77" t="s">
        <v>276</v>
      </c>
      <c r="J66"/>
    </row>
    <row r="67" spans="2:10" ht="34" x14ac:dyDescent="0.2">
      <c r="B67" s="51">
        <v>5004</v>
      </c>
      <c r="C67" s="51" t="s">
        <v>198</v>
      </c>
      <c r="D67" s="51" t="s">
        <v>194</v>
      </c>
      <c r="E67" s="51" t="s">
        <v>134</v>
      </c>
      <c r="F67" s="51" t="s">
        <v>130</v>
      </c>
      <c r="G67" s="58">
        <v>1400</v>
      </c>
      <c r="H67" s="77" t="s">
        <v>277</v>
      </c>
      <c r="J67"/>
    </row>
    <row r="68" spans="2:10" ht="34" x14ac:dyDescent="0.2">
      <c r="B68" s="51">
        <v>5005</v>
      </c>
      <c r="C68" s="51" t="s">
        <v>199</v>
      </c>
      <c r="D68" s="51" t="s">
        <v>194</v>
      </c>
      <c r="E68" s="51" t="s">
        <v>134</v>
      </c>
      <c r="F68" s="51" t="s">
        <v>130</v>
      </c>
      <c r="G68" s="58">
        <v>934</v>
      </c>
      <c r="H68" s="77" t="s">
        <v>278</v>
      </c>
      <c r="J68"/>
    </row>
    <row r="69" spans="2:10" ht="34" x14ac:dyDescent="0.2">
      <c r="B69" s="51">
        <v>5006</v>
      </c>
      <c r="C69" s="51" t="s">
        <v>200</v>
      </c>
      <c r="D69" s="51" t="s">
        <v>194</v>
      </c>
      <c r="E69" s="51" t="s">
        <v>134</v>
      </c>
      <c r="F69" s="51" t="s">
        <v>130</v>
      </c>
      <c r="G69" s="58">
        <v>600</v>
      </c>
      <c r="H69" s="77" t="s">
        <v>279</v>
      </c>
      <c r="J69"/>
    </row>
    <row r="70" spans="2:10" ht="34" x14ac:dyDescent="0.2">
      <c r="B70" s="51">
        <v>5007</v>
      </c>
      <c r="C70" s="51" t="s">
        <v>201</v>
      </c>
      <c r="D70" s="51" t="s">
        <v>194</v>
      </c>
      <c r="E70" s="51" t="s">
        <v>134</v>
      </c>
      <c r="F70" s="51" t="s">
        <v>130</v>
      </c>
      <c r="G70" s="58">
        <v>808</v>
      </c>
      <c r="H70" s="77" t="s">
        <v>280</v>
      </c>
      <c r="J70"/>
    </row>
    <row r="71" spans="2:10" ht="34" x14ac:dyDescent="0.2">
      <c r="B71" s="51">
        <v>5008</v>
      </c>
      <c r="C71" s="51" t="s">
        <v>202</v>
      </c>
      <c r="D71" s="51" t="s">
        <v>194</v>
      </c>
      <c r="E71" s="51" t="s">
        <v>134</v>
      </c>
      <c r="F71" s="51" t="s">
        <v>130</v>
      </c>
      <c r="G71" s="58">
        <v>37.9</v>
      </c>
      <c r="H71" s="77" t="s">
        <v>281</v>
      </c>
      <c r="J71"/>
    </row>
    <row r="73" spans="2:10" x14ac:dyDescent="0.2">
      <c r="B73" s="63"/>
      <c r="C73" s="63" t="s">
        <v>203</v>
      </c>
      <c r="D73" s="63"/>
      <c r="E73" s="63"/>
      <c r="F73" s="63"/>
      <c r="G73" s="63"/>
    </row>
    <row r="74" spans="2:10" x14ac:dyDescent="0.2">
      <c r="B74" s="61"/>
      <c r="C74" s="61" t="s">
        <v>204</v>
      </c>
      <c r="D74" s="61" t="s">
        <v>156</v>
      </c>
      <c r="E74" s="61" t="s">
        <v>165</v>
      </c>
      <c r="F74" s="61" t="s">
        <v>130</v>
      </c>
      <c r="G74" s="62"/>
    </row>
  </sheetData>
  <hyperlinks>
    <hyperlink ref="I54" r:id="rId1" xr:uid="{47DE51B2-8D6C-514E-929A-C415241DC7C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c1db19-8174-4f49-be39-820c9b974cf1">
      <Terms xmlns="http://schemas.microsoft.com/office/infopath/2007/PartnerControls"/>
    </lcf76f155ced4ddcb4097134ff3c332f>
    <TaxCatchAll xmlns="33a73188-7ef7-4602-9b3e-d01317578f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EAF69CFE3502E4499814BDDC03D1C536" ma:contentTypeVersion="11" ma:contentTypeDescription="Izveidot jaunu dokumentu." ma:contentTypeScope="" ma:versionID="e71efb4703795bfc45dc96246c2c86e0">
  <xsd:schema xmlns:xsd="http://www.w3.org/2001/XMLSchema" xmlns:xs="http://www.w3.org/2001/XMLSchema" xmlns:p="http://schemas.microsoft.com/office/2006/metadata/properties" xmlns:ns2="7fc1db19-8174-4f49-be39-820c9b974cf1" xmlns:ns3="33a73188-7ef7-4602-9b3e-d01317578f7c" targetNamespace="http://schemas.microsoft.com/office/2006/metadata/properties" ma:root="true" ma:fieldsID="8c31378e54ab7ac002bd11b165a436c4" ns2:_="" ns3:_="">
    <xsd:import namespace="7fc1db19-8174-4f49-be39-820c9b974cf1"/>
    <xsd:import namespace="33a73188-7ef7-4602-9b3e-d01317578f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1db19-8174-4f49-be39-820c9b974c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ttēlu atzīmes" ma:readOnly="false" ma:fieldId="{5cf76f15-5ced-4ddc-b409-7134ff3c332f}" ma:taxonomyMulti="true" ma:sspId="11d35d9e-665f-4525-9e48-92d793f468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73188-7ef7-4602-9b3e-d01317578f7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65a52fb-9f08-4396-9b78-835f853bd5c8}" ma:internalName="TaxCatchAll" ma:showField="CatchAllData" ma:web="33a73188-7ef7-4602-9b3e-d01317578f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0AF795-FB6D-4E6A-B4CA-3DB49514FB93}">
  <ds:schemaRefs>
    <ds:schemaRef ds:uri="33a73188-7ef7-4602-9b3e-d01317578f7c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7fc1db19-8174-4f49-be39-820c9b974cf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183F99B-7A95-4571-A2C9-3913C17731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c1db19-8174-4f49-be39-820c9b974cf1"/>
    <ds:schemaRef ds:uri="33a73188-7ef7-4602-9b3e-d01317578f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4BFB69-F24B-4A77-8275-2046CA87004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2bc6c2-7514-4fdc-9d30-d67e678af931}" enabled="0" method="" siteId="{782bc6c2-7514-4fdc-9d30-d67e678af93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SECAP2030 mērķi</vt:lpstr>
      <vt:lpstr>Rādītāji - vērtības</vt:lpstr>
      <vt:lpstr>Rādītāji - apraksts metode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Krista Pētersone</dc:creator>
  <cp:keywords/>
  <dc:description/>
  <cp:lastModifiedBy>Krista Pētersone</cp:lastModifiedBy>
  <cp:revision/>
  <dcterms:created xsi:type="dcterms:W3CDTF">2026-10-03T12:01:12Z</dcterms:created>
  <dcterms:modified xsi:type="dcterms:W3CDTF">2026-10-21T16:50:48Z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0x010100EAF69CFE3502E4499814BDDC03D1C536</vt:lpwstr>
  </property>
  <property fmtid="{D5CDD505-2E9C-101B-9397-08002B2CF9AE}" pid="3" name="MediaServiceImageTags">
    <vt:lpwstr/>
  </property>
</Properties>
</file>