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ebextensions/taskpanes.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11/relationships/webextensiontaskpanes" Target="xl/webextensions/taskpanes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2"/>
  </bookViews>
  <sheets>
    <sheet name="SECAP2030 mērķi" sheetId="1" state="visible" r:id="rId3"/>
    <sheet name="Rādītāji - vērtības" sheetId="2" state="visible" r:id="rId4"/>
    <sheet name="Rādītāji - apraksts metod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<sst xmlns="http://schemas.openxmlformats.org/spreadsheetml/2006/main" count="851" uniqueCount="288">
  <si>
    <t xml:space="preserve">Rīgas SECAP 2022–2030: enerģētikas un CO2 emisiju mērķi</t>
  </si>
  <si>
    <t xml:space="preserve">Avots: Rīgas pilsētas Ilgtspējīgas enerģētikas un klimata rīcības plāns 2022.–2030. gadam</t>
  </si>
  <si>
    <t xml:space="preserve">4.1. tabula: Enerģētikas mērķi Rīgas pilsētai līdz 2030. gadam</t>
  </si>
  <si>
    <t xml:space="preserve">Mērķis</t>
  </si>
  <si>
    <t xml:space="preserve">Mērķa vērtība</t>
  </si>
  <si>
    <t xml:space="preserve">Mērķa gads</t>
  </si>
  <si>
    <t xml:space="preserve">Bāzes vērtība</t>
  </si>
  <si>
    <t xml:space="preserve">Bāzes gads</t>
  </si>
  <si>
    <t xml:space="preserve">Vidusposma statuss - 2025. gads</t>
  </si>
  <si>
    <t xml:space="preserve">2025. gada vērtība</t>
  </si>
  <si>
    <t xml:space="preserve">Progress līdz mērķim</t>
  </si>
  <si>
    <t xml:space="preserve">Rādītājs / komentārs</t>
  </si>
  <si>
    <t xml:space="preserve">Bāze (aprēķinam)</t>
  </si>
  <si>
    <t xml:space="preserve">Mērķis (aprēķinam)</t>
  </si>
  <si>
    <t xml:space="preserve">Laika progress (aprēķinam)</t>
  </si>
  <si>
    <t xml:space="preserve">Pašvaldības infrastruktūra un iekārtas</t>
  </si>
  <si>
    <t xml:space="preserve">Ieviest, uzturēt un sertificēt EPS pašvaldībā atbilstoši ISO 50001:2018 standartam</t>
  </si>
  <si>
    <t xml:space="preserve">Sertifikāts</t>
  </si>
  <si>
    <t xml:space="preserve">2022</t>
  </si>
  <si>
    <t xml:space="preserve">Nav</t>
  </si>
  <si>
    <t xml:space="preserve">2020</t>
  </si>
  <si>
    <t xml:space="preserve">Sasniegts</t>
  </si>
  <si>
    <t xml:space="preserve">Rādītājs 1001: objektu skaits energopārvaldības sistēmā.</t>
  </si>
  <si>
    <t xml:space="preserve">Ir</t>
  </si>
  <si>
    <t xml:space="preserve">Samazināt enerģijas patēriņu pašvaldības ēkās</t>
  </si>
  <si>
    <t xml:space="preserve">-20%</t>
  </si>
  <si>
    <t xml:space="preserve">2030</t>
  </si>
  <si>
    <t xml:space="preserve">199 243 MWh</t>
  </si>
  <si>
    <t xml:space="preserve">2019</t>
  </si>
  <si>
    <t xml:space="preserve">Rādītājs 1002 (elektroenerģija + siltumenerģija, bez dabasgāzes – kā SECAP bāzē).</t>
  </si>
  <si>
    <t xml:space="preserve">Nodrošināt klimatneitralitāti pašvaldības ēkās attiecībā uz izmantoto siltumenerģiju</t>
  </si>
  <si>
    <t xml:space="preserve">100% AER</t>
  </si>
  <si>
    <t xml:space="preserve">31%</t>
  </si>
  <si>
    <t xml:space="preserve">Netiešs: AER īpatsvars Rīgas CSS (rādītājs 3002), jo pašvaldības ēkas pārsvarā pieslēgtas CSS. Tiešu datu par ēku AER siltumu nav.</t>
  </si>
  <si>
    <t xml:space="preserve">Paaugstināt AER elektroenerģijas īpatsvaru pašvaldības infrastruktūrā</t>
  </si>
  <si>
    <t xml:space="preserve">100%</t>
  </si>
  <si>
    <t xml:space="preserve">54,36%</t>
  </si>
  <si>
    <t xml:space="preserve">Samazināt vidējo īpatnējo elektroenerģijas patēriņu, MWh/gaismeklis</t>
  </si>
  <si>
    <t xml:space="preserve">0,300</t>
  </si>
  <si>
    <t xml:space="preserve">0,497 (0,597)</t>
  </si>
  <si>
    <t xml:space="preserve">Rādītājs 1012. Bāze koriģēta uz 0,497 (2020), jo gaismekļu skaits bija lielāks; SECAP bāze 0,597 (2019).</t>
  </si>
  <si>
    <t xml:space="preserve">Samazināt vidējo īpatnējo elektroenerģijas patēriņu, MWh/luksofors</t>
  </si>
  <si>
    <t xml:space="preserve">2,300</t>
  </si>
  <si>
    <t xml:space="preserve">2024</t>
  </si>
  <si>
    <t xml:space="preserve">2,314</t>
  </si>
  <si>
    <t xml:space="preserve">Veikta luksoforu diožu nomaiņa uz LED; dati par luksoforu vidējo elektroenerģijas patēriņu 2025. gadā nav pieejami (mērķa gads 2024).</t>
  </si>
  <si>
    <t xml:space="preserve">Paaugstināt atjaunīgās elektroenerģijas īpatsvaru izmantošanā ielu apgaismojuma, luksoforu un pulksteņu darbināšanai</t>
  </si>
  <si>
    <t xml:space="preserve">Netiešs: AER īpatsvars elektroenerģijā Latvijā (Eurostat RES-E; palīgdati 'Rādītāji - vērtības' rindā 79; 2025 – provizoriski). Nav atsevišķi datu par AER elektroenerģijas ielu apgaismojumam, vienots iepirkums. </t>
  </si>
  <si>
    <t xml:space="preserve">Paaugstināt AER īpatsvaru izmantotajā enerģijā pašvaldības darbinieku transportā</t>
  </si>
  <si>
    <t xml:space="preserve">1%</t>
  </si>
  <si>
    <t xml:space="preserve">Netiešs: elektroauto īpatsvars pašvaldības autoparkā (rādītājs 1015): 2025 – 173 no 1443 transportlīdzekļiem (12,0%); 2023 – 4,2%, 2024 – 7,8%.</t>
  </si>
  <si>
    <t xml:space="preserve">Daudzdzīvokļu ēkas</t>
  </si>
  <si>
    <t xml:space="preserve">Atjaunot daudzdzīvokļu ēku dzīvojamo fondu Rīgā</t>
  </si>
  <si>
    <t xml:space="preserve">2000 ēkas</t>
  </si>
  <si>
    <t xml:space="preserve">159 ēkas</t>
  </si>
  <si>
    <t xml:space="preserve">Rādītājs 2004 (kopā atjaunotās ēkas). 2025. g. vērtība 209 un bāze 159 – Ekonomikas ministrijas dati (viena uzskaites metode); nav salīdzināmi ar 2020–2024 vērtībām rādītāju tabulā (68–146, cita uzskaite).</t>
  </si>
  <si>
    <t xml:space="preserve">Samazināt siltumenerģijas patēriņu daudzdzīvokļu ēkās, kas pieslēgtas Rīgas pilsētas CSS</t>
  </si>
  <si>
    <t xml:space="preserve">Centralizētā siltumapgāde</t>
  </si>
  <si>
    <t xml:space="preserve">Paaugstināt AER īpatsvaru Rīgas pilsētas CSS</t>
  </si>
  <si>
    <t xml:space="preserve">≥66%</t>
  </si>
  <si>
    <t xml:space="preserve">Rādītājs 3002.</t>
  </si>
  <si>
    <t xml:space="preserve">Samazināt relatīvos siltumenerģijas zudumus siltumtīklos aktīvajā apkures sezonā</t>
  </si>
  <si>
    <t xml:space="preserve">&lt;10%</t>
  </si>
  <si>
    <t xml:space="preserve">– (gada zudumi 11,7%)</t>
  </si>
  <si>
    <t xml:space="preserve">Rādītājs 3003. Mērķis vidusposmā mainīts atbilstoši NEKP2030 pasākuma 3.1.3.11 rezultatīvajam rādītājam (siltuma zudumu īpatsvars apkures sezonā &lt; 10 % līdz 2030. gadam); tāda pati norma iekļauta CSS attīstības stratēģijas 2026.–2040. gadam konceptuālajā ziņojumā. SECAP2030 sākotnējais mērķis – relatīvie gada zudumi 11,6 % (bāze 11,7 %, 2019). Zudumus būtiski ietekmē laikapstākļi: 2024./2025. finanšu gadā 12,49 % gadā un 9,77 % apkures sezonā; 2025./2026. finanšu gadā 11,8 % un 9,30 % (AS “Rīgas siltums” dati).</t>
  </si>
  <si>
    <t xml:space="preserve">Decentralizētā siltumapgāde / gāzes apgāde</t>
  </si>
  <si>
    <t xml:space="preserve">Samazināt decentralizētās siltumapgādes īpatsvaru</t>
  </si>
  <si>
    <t xml:space="preserve">40%</t>
  </si>
  <si>
    <t xml:space="preserve">Paaugstināt AER īpatsvaru decentralizētajā siltumapgādē Rīgas pilsētā</t>
  </si>
  <si>
    <t xml:space="preserve">60%</t>
  </si>
  <si>
    <t xml:space="preserve">Samazināt dabas gāzes patēriņu Rīgā visos sektoros</t>
  </si>
  <si>
    <t xml:space="preserve">-30%</t>
  </si>
  <si>
    <t xml:space="preserve">362 429 tūkst. m3</t>
  </si>
  <si>
    <t xml:space="preserve">Rādītājs 3006, GWh. SECAP bāzes vērtība 362 429 tūkst. m3 atbilst GASO 2020. gada datiem (30 856 + 331 573), tāpēc salīdzināts ar 2020. gadu.</t>
  </si>
  <si>
    <t xml:space="preserve">Elektroapgāde</t>
  </si>
  <si>
    <t xml:space="preserve">Paaugstināt AER elektroenerģijas īpatsvaru Rīgā</t>
  </si>
  <si>
    <t xml:space="preserve">&gt;15%</t>
  </si>
  <si>
    <t xml:space="preserve">4%</t>
  </si>
  <si>
    <t xml:space="preserve">Rādītājs 3010.</t>
  </si>
  <si>
    <t xml:space="preserve">Transports</t>
  </si>
  <si>
    <t xml:space="preserve">Palielināt AER īpatsvaru sabiedriskā transporta sektorā</t>
  </si>
  <si>
    <t xml:space="preserve">50%</t>
  </si>
  <si>
    <t xml:space="preserve">16%</t>
  </si>
  <si>
    <t xml:space="preserve">Rādītājs 4007.</t>
  </si>
  <si>
    <t xml:space="preserve">Samazināt privāto automašīnu lietotāju īpatsvaru</t>
  </si>
  <si>
    <t xml:space="preserve">37,4%</t>
  </si>
  <si>
    <t xml:space="preserve">42,4%</t>
  </si>
  <si>
    <t xml:space="preserve">Nav salīdzināmu datu: SECAP bāze 42,4% ir braucienu īpatsvars (SUMBA mājsaimniecību aptauja, 2019). Indikatīvi – PAD sabiedriskā transporta maršrutu tīkla reformas pētījuma aptaujā (Kantar, 2025. g. sept., n=2500) 48% Rīgas iedzīvotāju regulāri (2–3 reizes nedēļā vai biežāk) brauc ar privāto auto, 51% regulāri izmanto sabiedrisko transportu; aptauja mēra izmantošanas biežumu, nevis braucienu sadalījumu. Nepieciešama braucienos balstīta mobilitātes aptauja.</t>
  </si>
  <si>
    <t xml:space="preserve">4.2. tabula: CO2 samazināšanas mērķi Rīgas pilsētai līdz 2030. gadam</t>
  </si>
  <si>
    <t xml:space="preserve">Samazināt Rīgas kopējās CO2 emisijas</t>
  </si>
  <si>
    <t xml:space="preserve">-30%
-70%</t>
  </si>
  <si>
    <t xml:space="preserve">1742 ktCO2
4291 ktCO2</t>
  </si>
  <si>
    <t xml:space="preserve">2019
1990</t>
  </si>
  <si>
    <t xml:space="preserve">Samazināt CO2 emisijas enerģijas ražošanā</t>
  </si>
  <si>
    <t xml:space="preserve">-30%
-51%</t>
  </si>
  <si>
    <t xml:space="preserve">934 ktCO2*
1400 ktCO2</t>
  </si>
  <si>
    <t xml:space="preserve">Samazināt CO2 emisijas transporta sektorā</t>
  </si>
  <si>
    <t xml:space="preserve">-30%
+21,5%</t>
  </si>
  <si>
    <t xml:space="preserve">808 ktCO2*
600 ktCO2</t>
  </si>
  <si>
    <t xml:space="preserve">Samazināt emisijas Rīgas Domes infrastruktūrā</t>
  </si>
  <si>
    <t xml:space="preserve">-100%</t>
  </si>
  <si>
    <t xml:space="preserve">37,9 ktCO2</t>
  </si>
  <si>
    <t xml:space="preserve">Vērtēšanas metode</t>
  </si>
  <si>
    <t xml:space="preserve">Pārskata gads</t>
  </si>
  <si>
    <t xml:space="preserve">atsevišķos gadījumos 2020</t>
  </si>
  <si>
    <t xml:space="preserve">Laika progress (pārskata gads, bāzes gads 2019)</t>
  </si>
  <si>
    <t xml:space="preserve">Progress = (2025. g. vērtība − bāze) / (mērķis − bāze). Laika progress katram mērķim aprēķināts pēc tā bāzes gada (kolonna E; kolonna L): 2019 – 54,5%, 2020 – 50,0%. Statuss: ≥100% – Sasniegts; ≥ laika progress − pielaide – Atbilst trajektorijai; zemāks – Atpaliek no trajektorijas (arī tad, ja rādītājs nav uzlabojies); bez rādītāja – Nav datu.</t>
  </si>
  <si>
    <t xml:space="preserve">Pielaide trajektorijai (procentpunkti)</t>
  </si>
  <si>
    <t xml:space="preserve">Nosaukums</t>
  </si>
  <si>
    <t xml:space="preserve">Sektors</t>
  </si>
  <si>
    <t xml:space="preserve">Apakšsektors</t>
  </si>
  <si>
    <t xml:space="preserve">Vienība</t>
  </si>
  <si>
    <t xml:space="preserve">Pašvaldības sektors</t>
  </si>
  <si>
    <t xml:space="preserve">Objektu skaits energopārvaldības sistēmā</t>
  </si>
  <si>
    <t xml:space="preserve">Pašvaldības infrastruktūra</t>
  </si>
  <si>
    <t xml:space="preserve">Ēkas</t>
  </si>
  <si>
    <t xml:space="preserve">skaits</t>
  </si>
  <si>
    <t xml:space="preserve">Enerģijas patēriņš pašvaldības ēkās</t>
  </si>
  <si>
    <t xml:space="preserve">MWh/gadā</t>
  </si>
  <si>
    <t xml:space="preserve">Pašvaldības ēku elektroenerģijas patēriņš</t>
  </si>
  <si>
    <t xml:space="preserve">Pašvaldības ēku siltumenerģijas patēriņš</t>
  </si>
  <si>
    <t xml:space="preserve">Pašvaldības ēku dabasgāzes patēriņš</t>
  </si>
  <si>
    <t xml:space="preserve">Īpatnējais siltumenerģijas patēriņš pašvaldības biroju ēkās</t>
  </si>
  <si>
    <t xml:space="preserve">kWh/m2</t>
  </si>
  <si>
    <t xml:space="preserve">Īpatnējais siltumenerģijas patēriņš skolās</t>
  </si>
  <si>
    <t xml:space="preserve">Īpatnējais ūdens patēriņš pašvaldības ēkās</t>
  </si>
  <si>
    <t xml:space="preserve">l/m2</t>
  </si>
  <si>
    <t xml:space="preserve">Atjaunoto pašvaldības ēku skaits</t>
  </si>
  <si>
    <t xml:space="preserve">skaits, kumulatīvi</t>
  </si>
  <si>
    <t xml:space="preserve">Uzstādīto saules paneļu jaudas</t>
  </si>
  <si>
    <t xml:space="preserve">kWp, kumulatīvi</t>
  </si>
  <si>
    <t xml:space="preserve">Elektroenerģijas patēriņš ielu apgaismojumam</t>
  </si>
  <si>
    <t xml:space="preserve">Ielu apgaismojums</t>
  </si>
  <si>
    <t xml:space="preserve">Īpatnējais enerģijas patēriņš uz gaismekli</t>
  </si>
  <si>
    <t xml:space="preserve">MWh/gaismeklis gadā</t>
  </si>
  <si>
    <t xml:space="preserve">LED gaismekļu īpatsvars ielu apgaismojumā</t>
  </si>
  <si>
    <t xml:space="preserve">%</t>
  </si>
  <si>
    <t xml:space="preserve">Elektroauto skaits pašvaldības autoparkā</t>
  </si>
  <si>
    <t xml:space="preserve">Elektroauto īpatsvars</t>
  </si>
  <si>
    <t xml:space="preserve">Pašvaldības ēku  elektroenerģijas patēriņa CO2 emisijas</t>
  </si>
  <si>
    <t xml:space="preserve">CO2 emisijas</t>
  </si>
  <si>
    <t xml:space="preserve">tCO2/gadā</t>
  </si>
  <si>
    <t xml:space="preserve">Pašvaldības ēku  siltumenerģijas patēriņa CO2 emisijas</t>
  </si>
  <si>
    <t xml:space="preserve">Ielu apgaismojuma elektroenerģijas patēriņa CO2 emisijas</t>
  </si>
  <si>
    <t xml:space="preserve">Ūdens apgādes elektroenerģijas patēriņa CO2 emisijas</t>
  </si>
  <si>
    <t xml:space="preserve">Pašvaldības sektora transporta CO2 emisijas</t>
  </si>
  <si>
    <t xml:space="preserve">Pašvaldības sektora CO2 emisijas, kopā</t>
  </si>
  <si>
    <t xml:space="preserve">Daudzdzīvokļu dzīvojamo ēku sektors</t>
  </si>
  <si>
    <t xml:space="preserve">Daudzdzīvokļu ēku siltumenerģijas patēriņš, kas pieslēgtas CSS (ar klimata korekciju)</t>
  </si>
  <si>
    <t xml:space="preserve">Siltumapgāde</t>
  </si>
  <si>
    <t xml:space="preserve">Energoefektivitātes novērtējums apkurei - visas ēkas, pieslēgtas CSS</t>
  </si>
  <si>
    <t xml:space="preserve">Energoefektivitātes novērtējums apkurei - atjaunotās ēkas, pieslēgtas CSS</t>
  </si>
  <si>
    <t xml:space="preserve">Atjaunoto daudzdzīvokļu ēku skaits</t>
  </si>
  <si>
    <t xml:space="preserve">Atjaunošana</t>
  </si>
  <si>
    <t xml:space="preserve">skaits, kopā</t>
  </si>
  <si>
    <t xml:space="preserve">Daudzdzīvokļu ēku skaits gadā, kas pieteikušās veikt ēku atjaunošanu</t>
  </si>
  <si>
    <t xml:space="preserve">skaits, gadā</t>
  </si>
  <si>
    <t xml:space="preserve">Konsultācijas iedzīvotājiem par ēku atjaunošanu</t>
  </si>
  <si>
    <t xml:space="preserve">skaits/gadā</t>
  </si>
  <si>
    <t xml:space="preserve">CO2 emisijas - mājsaimniecību sektors (siltumenerģija un kurināmais)</t>
  </si>
  <si>
    <t xml:space="preserve">CO2 emisijas - mājsaimniecību sektors (elektroenerģija)</t>
  </si>
  <si>
    <t xml:space="preserve">Enerģijas ražošanas sektors</t>
  </si>
  <si>
    <t xml:space="preserve">Patērētājiem nodotais siltumenerģijas apjoms Rīgas pilsētas CSS</t>
  </si>
  <si>
    <t xml:space="preserve">Enerģija</t>
  </si>
  <si>
    <t xml:space="preserve">GWh/gadā</t>
  </si>
  <si>
    <t xml:space="preserve">AER īpatsvars Rīgas pilsētas CSS</t>
  </si>
  <si>
    <t xml:space="preserve">Zudumi siltumtīklos aktīvajā apkures sezonā (oktobris–aprīlis)</t>
  </si>
  <si>
    <t xml:space="preserve">Dabasgāzes patēriņš mājokļu sektorā (mājsaimniecības)</t>
  </si>
  <si>
    <t xml:space="preserve">Decentralizētā energoapgāde</t>
  </si>
  <si>
    <t xml:space="preserve">Dabasgāzes patēriņš sabiedriskais sektors (pārējie lietotāji)</t>
  </si>
  <si>
    <t xml:space="preserve">Dabasgāzes patēriņš Rīgā kopā</t>
  </si>
  <si>
    <t xml:space="preserve">Dabasgāze</t>
  </si>
  <si>
    <t xml:space="preserve">Decentralizētās siltumapgādes īpatsvars siltumenerģijas galapatēriņā</t>
  </si>
  <si>
    <t xml:space="preserve">AER īpatsvars decentralizētajā siltumapgādē</t>
  </si>
  <si>
    <t xml:space="preserve">Kopējais elektroenerģijas patēriņš</t>
  </si>
  <si>
    <t xml:space="preserve">Elektroenerģija</t>
  </si>
  <si>
    <t xml:space="preserve">No AER saražotās elektroenerģijas īpatsvars</t>
  </si>
  <si>
    <t xml:space="preserve">Saules elektroenerģijas apjoms, kas nodots tīklā (juridiskas personas)</t>
  </si>
  <si>
    <t xml:space="preserve">Energokopienu skaits Rīgā</t>
  </si>
  <si>
    <t xml:space="preserve">Energokopienas</t>
  </si>
  <si>
    <t xml:space="preserve">CO2 emisijas - centralizētā siltumapgāde</t>
  </si>
  <si>
    <t xml:space="preserve">CO2 emisijas - elektroenerģijas patēriņš</t>
  </si>
  <si>
    <t xml:space="preserve">CO2 emisijas - kurināmā patēriņš</t>
  </si>
  <si>
    <t xml:space="preserve">CO2 emisijas - pakalpojumu un rūpniecības sektors, pārējie (siltumenerģija un kurināmais)</t>
  </si>
  <si>
    <t xml:space="preserve">CO2 emisijas - pakalpojumi, rūpniecība un pārējie, t. sk. lauksaimniecība (elektroenerģija)</t>
  </si>
  <si>
    <t xml:space="preserve">Transporta sektors</t>
  </si>
  <si>
    <t xml:space="preserve">Reģistrētie transportlīdzekļi, kopā</t>
  </si>
  <si>
    <t xml:space="preserve">Transports, kopā</t>
  </si>
  <si>
    <t xml:space="preserve">Reģistrētie transportlīdzekļi ar elektromotoriem</t>
  </si>
  <si>
    <t xml:space="preserve">Elektro uzlādes pieslēgvietu skaits Rīgā</t>
  </si>
  <si>
    <t xml:space="preserve">Veloceļu garums</t>
  </si>
  <si>
    <t xml:space="preserve">km</t>
  </si>
  <si>
    <t xml:space="preserve">Pārvadāto pasažieru skaits pa veidiem sabiedriskajā transportā</t>
  </si>
  <si>
    <t xml:space="preserve">Sabiedriskais</t>
  </si>
  <si>
    <t xml:space="preserve">milj. pasažieru gadā</t>
  </si>
  <si>
    <t xml:space="preserve">Ikgadējais sabiedriskā transporta "Rīgas Satiksme" nobraukums maršrutu tīklā</t>
  </si>
  <si>
    <t xml:space="preserve">tūkst. km</t>
  </si>
  <si>
    <t xml:space="preserve">AER īpatsvars sabiedriskā transporta sektorā</t>
  </si>
  <si>
    <t xml:space="preserve">CO2 emisijas privātajā transportā</t>
  </si>
  <si>
    <t xml:space="preserve">CO2 emisijas sabiedriskajā transportā (Rīgas Satiksme)</t>
  </si>
  <si>
    <t xml:space="preserve">CO2 emisijas dzelzceļa transportā</t>
  </si>
  <si>
    <t xml:space="preserve">Transporta sektora CO2 emisijas, kopā</t>
  </si>
  <si>
    <t xml:space="preserve">Citi</t>
  </si>
  <si>
    <t xml:space="preserve">Pilsētas CO2 emisijas kopā</t>
  </si>
  <si>
    <t xml:space="preserve">Kopā</t>
  </si>
  <si>
    <t xml:space="preserve">Bāzes vērtība, kt</t>
  </si>
  <si>
    <t xml:space="preserve">CO2 izmaiņas pret 1990. gadu, kopā</t>
  </si>
  <si>
    <t xml:space="preserve">CO2 izmaiņas pret 2019. gadu, kopā</t>
  </si>
  <si>
    <t xml:space="preserve">CO2 izmaiņas pret 1990. gadu, enerģija</t>
  </si>
  <si>
    <t xml:space="preserve">CO2 izmaiņas pret 2019. gadu, enerģija</t>
  </si>
  <si>
    <t xml:space="preserve">CO2 izmaiņas pret 1990. gadu, transports</t>
  </si>
  <si>
    <t xml:space="preserve">CO2 izmaiņas pret 2019. gadu, transports</t>
  </si>
  <si>
    <t xml:space="preserve">CO2 izmaiņas pret 2019. gadu, pašvaldības sektors</t>
  </si>
  <si>
    <t xml:space="preserve">Palīgdati aprēķiniem (nav Rīgas rādītājs)</t>
  </si>
  <si>
    <t xml:space="preserve">AER īpatsvars elektroenerģijā Latvijā (RES-E, Eurostat)</t>
  </si>
  <si>
    <t xml:space="preserve">Apraksts</t>
  </si>
  <si>
    <t xml:space="preserve">Saite uz resursu, ja pieejama</t>
  </si>
  <si>
    <t xml:space="preserve">Atbildīgais eksperts</t>
  </si>
  <si>
    <t xml:space="preserve">Citu struktūrvienību iesaiste</t>
  </si>
  <si>
    <t xml:space="preserve">Sistēmas dati par objektu skaitu EPS</t>
  </si>
  <si>
    <t xml:space="preserve"/>
  </si>
  <si>
    <t xml:space="preserve">Dati par kopējo patēriņu - visi objekti, arī ārpus EPS</t>
  </si>
  <si>
    <t xml:space="preserve">Aprēķins atsevišķi biroju ēkām - attiecībā pret platību</t>
  </si>
  <si>
    <t xml:space="preserve">Aprēķins atsevišķi skolām - attiecībā pret platību</t>
  </si>
  <si>
    <t xml:space="preserve">Kopējais patēriņš - attiecībā pret platību</t>
  </si>
  <si>
    <t xml:space="preserve">Kumulatīvais pašvaldības ēku skaits, kurās veikta energoefektivitātes atjaunošana. ĪD dati; 2020–2025 dati nav apkopoti.</t>
  </si>
  <si>
    <t xml:space="preserve">ĪD</t>
  </si>
  <si>
    <t xml:space="preserve">Sistēmas dati EPS</t>
  </si>
  <si>
    <t xml:space="preserve"/>
  </si>
  <si>
    <t xml:space="preserve"/>
  </si>
  <si>
    <t xml:space="preserve">Sistēmas dati EPS pret gaismekļu skaitu, iesk. prožektorus</t>
  </si>
  <si>
    <t xml:space="preserve">LED skaits pret kopējo gaismekļu skaitu</t>
  </si>
  <si>
    <t xml:space="preserve">Finanšu departamenta dati par pamatlīdzekļu uzskaiti un degvielas patēriņu</t>
  </si>
  <si>
    <t xml:space="preserve"/>
  </si>
  <si>
    <t xml:space="preserve">FD</t>
  </si>
  <si>
    <t xml:space="preserve">Elektroenerģijas patēriņš reiz emisiju faktors</t>
  </si>
  <si>
    <t xml:space="preserve">Siltumenerģijas patēriņš (bez dabasgāzes) reiz gada CSS emisiju faktors</t>
  </si>
  <si>
    <t xml:space="preserve"/>
  </si>
  <si>
    <t xml:space="preserve">Finanšu departamenta dati par pamatlīdzekļu uzskaiti un degvielas patēriņu ar emisiju faktu</t>
  </si>
  <si>
    <t xml:space="preserve">Kopā - elektroenerģija, siltumenerģija, transports </t>
  </si>
  <si>
    <t xml:space="preserve">Ēkām piegādātais siltumenerģijas apjoms proporcionāli apkures dienu skaitam</t>
  </si>
  <si>
    <t xml:space="preserve"/>
  </si>
  <si>
    <t xml:space="preserve">Vidējais īpatnējais siltumenerģijas patēriņš apkurei visās CSS pieslēgtajās daudzdzīvokļu ēkās – apkures patēriņš (ar klimata korekciju) pret apkurināmo platību.</t>
  </si>
  <si>
    <t xml:space="preserve">Vidējais īpatnējais siltumenerģijas patēriņš apkurei atjaunotajās CSS pieslēgtajās daudzdzīvokļu ēkās – apkures patēriņš (ar klimata korekciju) pret apkurināmo platību.</t>
  </si>
  <si>
    <t xml:space="preserve">Divi avoti: ĢeoRīga CSS pieslēgtās, Ekonomikas ministrijas karte</t>
  </si>
  <si>
    <t xml:space="preserve">Altum programmas publiskie dati</t>
  </si>
  <si>
    <t xml:space="preserve"/>
  </si>
  <si>
    <t xml:space="preserve">REA ēku grupas konsultāciju reģistrs</t>
  </si>
  <si>
    <t xml:space="preserve">SEG aprēķinu tabula - dalījums patēriņa gala sektoros </t>
  </si>
  <si>
    <t xml:space="preserve">AS “Rīgas siltums” dati</t>
  </si>
  <si>
    <t xml:space="preserve">Datus sniedz AS “Rīgas siltums”. Relatīvie siltumenerģijas zudumi Rīgas pilsētas CSS siltumtīklos aktīvajā apkures sezonā (oktobris–aprīlis), % no tīklā nodotās siltumenerģijas; vērtība par finanšu gadu (2025 = 2024./2025. finanšu gads). Rādītājs ieviests vidusposmā atbilstoši NEKP2030 pasākuma 3.1.3.11 rezultatīvajam rādītājam (siltuma zudumu īpatsvars apkures sezonā &lt; 10 % līdz 2030. gadam), kas iekļauts arī Rīgas valstspilsētas CSS attīstības stratēģijas 2026.–2040. gadam konceptuālajā ziņojumā; tas aizstāj SECAP2030 rādītāju “Relatīvie siltumenerģijas zudumi siltumtīklos” (gada zudumi, bāze 11,77 %). Zudumus būtiski ietekmē laikapstākļi (āra temperatūra, apkures sezonas ilgums). Gada zudumi: 2024./2025. FG – 12,49 %; 2025./2026. FG – 11,8 % (apkures sezonā 9,30 %).</t>
  </si>
  <si>
    <t xml:space="preserve">Gaso dati</t>
  </si>
  <si>
    <t xml:space="preserve">Avots: Rīgas SEG inventarizācija (REA, Riga-CO2-monitorings-2020-2025.xlsx, lapa Kopā_2025). Aprēķins: decentralizētā kurināmā patēriņš (rinda 67) / (CSS patērētājiem nodotā siltumenerģija (rinda 65) + decentralizētā kurināmā patēriņš). Decentralizētais kurināmā patēriņš ietver: (1) dabasgāzi ārpus CSS – AS “Gaso” dati par pārējo lietotāju patēriņu, atskaitot CSS siltumražošanā izmantoto dabasgāzi; (2) pārējo kurināmo (koksne, šķelda, granulas, sašķidrinātā gāze, dīzeļdegviela, mazuts, biogāze) – LVĢMC datubāze “2-Gaiss” par sadedzināšanas iekārtām Rīgā, t. sk. ETS uzņēmumi un tehnoloģiskajos procesos izmantotais kurināmais, atskaitot CSS izmantoto biomasu; (3) CSS nepieslēgtās mājsaimniecības – aprēķins (104,4 kWh/m² × 6,52 milj. m² CSS nepieslēgtā dzīvojamā fonda; dabasgāzes patēriņš – AS “Gaso” dati). CSS siltumenerģija – AS “Rīgas siltums” dati (rādītājs 3001). Ierobežojumi: skaitītājā ir kurināmā patēriņš, bet saucējā – CSS nodotā siltumenerģija; pārrēķinot kurināmo siltumenerģijā (92 % lietderība), 2025. gada īpatsvars būtu ~41 %. Mājsaimniecību daļa ir modelēta un gadu gaitā maz mainās, tāpēc izmaiņas galvenokārt nosaka pakalpojumu un rūpniecības kurināmā patēriņš. CSS attīstības stratēģijā (pēc apsildāmās platības un īpatnējā patēriņa) īpatsvars aplēsts ~47 %. SECAP2030 bāzi 44 % (2019) ar šiem datiem nevar atkārtot.</t>
  </si>
  <si>
    <t xml:space="preserve">Avots: Rīgas SEG inventarizācija (REA, Riga-CO2-monitorings-2020-2025.xlsx, lapas Decentralizēti_2020–2025 un Kopā_2025). Aprēķins: AER kurināmā patēriņš decentralizētajā siltumapgādē / decentralizētā kurināmā patēriņš (Kopā_2025 rinda 67, tas pats saucējs kā rādītājam 3007). AER patēriņš ietver: (1) biomasu (koksne, šķelda, granulas, malka, biogāze) sadedzināšanas iekārtās Rīgā – LVĢMC datubāze “2-Gaiss”, t. sk. ETS uzņēmumi un tehnoloģiskajos procesos izmantotā koksne, atskaitot CSS siltumražošanā izmantoto biomasu; (2) AER CSS nepieslēgtajās mājsaimniecībās – atlikums: modelētais mājsaimniecību siltumenerģijas patēriņš (104,4 kWh/m² × 6,52 milj. m² CSS nepieslēgtā dzīvojamā fonda; Kopā_2025 rinda 17) mīnus AS “Gaso” dati par mājsaimniecību dabasgāzes patēriņu. 2025. gadā: biomasa 454 GWh + mājsaimniecību AER 265 GWh = 719 GWh no 2 102 GWh (34,2 %). Ierobežojumi: gada vērtības svārstās (34–43 %), jo rezultātu būtiski ietekmē CSS izmantotās biomasas atskaitīšana un dažu lielu rūpniecības uzņēmumu koksnes patēriņš; mājsaimniecību AER ir aprēķināts kā atlikums, tāpēc dabasgāzes patēriņa izmaiņas to automātiski ietekmē pretējā virzienā (piem., 2020. gadā mājsaimniecību dabasgāzes patēriņš bija neparasti zems). SECAP2030 bāzi 42 % (2019) ar šiem datiem nevar atkārtot; progress mērīts pret 2020. gada vērtību.</t>
  </si>
  <si>
    <t xml:space="preserve">Sadales tīkls dati. Bez transporta elektroenerģijas, kas uzskaitīta transporta sektorā (rādītājs 4011) – kā SEG inventarizācijā (Kopā_2025 rinda 66).</t>
  </si>
  <si>
    <t xml:space="preserve">Centrālā statistikas pārvalde, rādītājs</t>
  </si>
  <si>
    <t xml:space="preserve">https://data.stat.gov.lv/pxweb/lv/OSP_PUB/START__NOZ__EN__ENB/ENB210</t>
  </si>
  <si>
    <t xml:space="preserve"/>
  </si>
  <si>
    <t xml:space="preserve">https://data.stat.gov.lv/pxweb/lv/OSP_PUB/START__NOZ__EN__ENA/ENA050</t>
  </si>
  <si>
    <t xml:space="preserve">Valsts Vides dienesta dati, atvērto datu portāls, konsultācijas </t>
  </si>
  <si>
    <t xml:space="preserve">https://data.gov.lv/dati/eng/dataset/vvdenergokopienas/resource/e0b8ed6d-139d-404f-974a-fbf3375f6377</t>
  </si>
  <si>
    <t xml:space="preserve">CSS patērētājiem nodotās siltumenerģijas (rādītājs 3001) CO2 emisijas – kurināmā patēriņš reiz emisiju faktori. SEG inventarizācija.</t>
  </si>
  <si>
    <t xml:space="preserve">Kopējā elektroenerģijas patēriņa (rādītājs 3008) CO2 emisijas – patēriņš reiz elektroenerģijas emisiju faktors. Atbilst summai 1016 + 1018 + 1019 + 2008 + 3016. SEG inventarizācija.</t>
  </si>
  <si>
    <t xml:space="preserve">Decentralizētās siltumapgādes kurināmā (ārpus CSS) patēriņa CO2 emisijas – kurināmā patēriņš reiz emisiju faktori. SEG inventarizācija.</t>
  </si>
  <si>
    <t xml:space="preserve">Pakalpojumu, rūpniecības un pārējo patērētāju CO2 emisijas no siltumenerģijas (CSS) un kurināmā. SEG aprēķinu tabula – dalījums patēriņa gala sektoros; 1017 + 2007 + 3015 = 3012 + 3014.</t>
  </si>
  <si>
    <t xml:space="preserve">Pakalpojumu, rūpniecības un pārējo patērētāju (t. sk. lauksaimniecības) elektroenerģijas patēriņa CO2 emisijas. SEG aprēķinu tabula – dalījums patēriņa gala sektoros.</t>
  </si>
  <si>
    <t xml:space="preserve">Rīgā reģistrēto transportlīdzekļu skaits gada beigās. CSDD dati.</t>
  </si>
  <si>
    <t xml:space="preserve">Rīgā reģistrēto transportlīdzekļu ar elektromotoriem skaits gada beigās. CSDD dati.</t>
  </si>
  <si>
    <t xml:space="preserve">https://www.transportdata.gov.lv/lv/card/978835ee-f55b-481c-9791-ba0395d3619a</t>
  </si>
  <si>
    <t xml:space="preserve">Publiski pieejamo elektrotransporta uzlādes pieslēgvietu skaits Rīgā gada beigās.</t>
  </si>
  <si>
    <t xml:space="preserve">https://www.transportdata.gov.lv/lv/card/978835ee-f55b-481c-9791-ba0395d3619a </t>
  </si>
  <si>
    <t xml:space="preserve">Veloinfrastruktūras kopgarums Rīgā, kumulatīvi: 2020. g. garums + katru gadu izbūvētie posmi.</t>
  </si>
  <si>
    <t xml:space="preserve"/>
  </si>
  <si>
    <t xml:space="preserve">Sabiedriskajā transportā pārvadāto pasažieru skaits gadā (autobuss, trolejbuss, tramvajs). Rīgas Satiksme dati.</t>
  </si>
  <si>
    <t xml:space="preserve">Rīgas Satiksme transportlīdzekļu kopējais gada nobraukums maršrutu tīklā. Rīgas Satiksme dati.</t>
  </si>
  <si>
    <t xml:space="preserve">AER īpatsvars Rīgas Satiksme sabiedriskā transporta enerģijas patēriņā. Rīgas Satiksme dati.</t>
  </si>
  <si>
    <t xml:space="preserve">Privātā autotransporta degvielas patēriņa CO2 emisijas. SEG inventarizācija.</t>
  </si>
  <si>
    <t xml:space="preserve">Rīgas Satiksme sabiedriskā transporta enerģijas (degvielas un elektroenerģijas) patēriņa CO2 emisijas. SEG inventarizācija.</t>
  </si>
  <si>
    <t xml:space="preserve">Dzelzceļa transporta enerģijas patēriņa CO2 emisijas Rīgas teritorijā. SEG inventarizācija.</t>
  </si>
  <si>
    <t xml:space="preserve">Kopā: 4008 + 4009 + 4010 + pašvaldības transports (rādītājs 1020).</t>
  </si>
  <si>
    <t xml:space="preserve">REA emisiju aprēķina tabula</t>
  </si>
  <si>
    <t xml:space="preserve">Pilsētas kopējās CO2 emisijas (rādītājs 5001) pret 1990. g. bāzi 4291 kt: 5001 / bāze − 1.</t>
  </si>
  <si>
    <t xml:space="preserve">Pilsētas kopējās CO2 emisijas (rādītājs 5001) pret 2019. g. bāzi 1742 kt: 5001 / bāze − 1.</t>
  </si>
  <si>
    <t xml:space="preserve">Enerģijas sektora CO2 emisijas (3012 + 3013 + 3014) pret 1990. g. bāzi 1400 kt: summa / bāze − 1.</t>
  </si>
  <si>
    <t xml:space="preserve">Enerģijas sektora CO2 emisijas (3012 + 3013 + 3014) pret 2019. g. bāzi 934 kt (SEG inventarizācija; SECAP 914 kt): summa / bāze − 1.</t>
  </si>
  <si>
    <t xml:space="preserve">Transporta sektora CO2 emisijas (rādītājs 4011) pret 1990. g. bāzi 600 kt: 4011 / bāze − 1.</t>
  </si>
  <si>
    <t xml:space="preserve">Transporta sektora CO2 emisijas (rādītājs 4011) pret 2019. g. bāzi 808 kt (SEG inventarizācija): 4011 / bāze − 1.</t>
  </si>
  <si>
    <t xml:space="preserve">Pašvaldības sektora CO2 emisijas (1016–1020, t. sk. ūdensapgāde) pret 2019. g. bāzi 37,9 kt: summa / bāze − 1.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</si>
</sst>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@"/>
    <numFmt numFmtId="167" formatCode="General"/>
    <numFmt numFmtId="168" formatCode="#,##0"/>
    <numFmt numFmtId="169" formatCode="0%"/>
    <numFmt numFmtId="170" formatCode="0.00%"/>
    <numFmt numFmtId="171" formatCode="0.000"/>
    <numFmt numFmtId="172" formatCode="#,##0.0"/>
    <numFmt numFmtId="173" formatCode="0.00"/>
    <numFmt numFmtId="174" formatCode="m/d/yyyy"/>
    <numFmt numFmtId="175" formatCode="0.0%;\-0.0%;\-"/>
  </numFmts>
  <fonts count="18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2"/>
      <charset val="186"/>
    </font>
    <font>
      <b val="true"/>
      <sz val="20"/>
      <color rgb="FF000000"/>
      <name val="Aptos Narrow"/>
      <family val="2"/>
      <charset val="1"/>
    </font>
    <font>
      <sz val="20"/>
      <color theme="1"/>
      <name val="Aptos Narrow"/>
      <family val="2"/>
      <charset val="1"/>
    </font>
    <font>
      <i val="true"/>
      <sz val="9"/>
      <color rgb="FF595959"/>
      <name val="Aptos Narrow"/>
      <family val="2"/>
      <charset val="1"/>
    </font>
    <font>
      <b val="true"/>
      <sz val="12"/>
      <color rgb="FF000000"/>
      <name val="Aptos Narrow"/>
      <family val="2"/>
      <charset val="1"/>
    </font>
    <font>
      <b val="true"/>
      <sz val="12"/>
      <color rgb="FF0000FF"/>
      <name val="Aptos Narrow"/>
      <family val="2"/>
      <charset val="1"/>
    </font>
    <font>
      <b val="true"/>
      <sz val="12"/>
      <color theme="1"/>
      <name val="Aptos Narrow"/>
      <family val="2"/>
      <charset val="1"/>
    </font>
    <font>
      <sz val="12"/>
      <color rgb="FF0000FF"/>
      <name val="Aptos Narrow"/>
      <family val="2"/>
      <charset val="1"/>
    </font>
    <font>
      <sz val="12"/>
      <color rgb="FF000000"/>
      <name val="Aptos Narrow"/>
      <family val="2"/>
      <charset val="1"/>
    </font>
    <font>
      <b val="true"/>
      <sz val="12"/>
      <color rgb="FF000000"/>
      <name val="Aptos Narrow"/>
      <family val="0"/>
      <charset val="1"/>
    </font>
    <font>
      <sz val="12"/>
      <color rgb="FF000000"/>
      <name val="Aptos Narrow"/>
      <family val="0"/>
      <charset val="1"/>
    </font>
    <font>
      <sz val="15"/>
      <color rgb="FF0B0B0B"/>
      <name val="Arial"/>
      <family val="2"/>
      <charset val="1"/>
    </font>
    <font>
      <b val="true"/>
      <sz val="12"/>
      <color theme="1"/>
      <name val="Aptos Narrow"/>
      <family val="0"/>
      <charset val="1"/>
    </font>
    <font>
      <u val="single"/>
      <sz val="12"/>
      <color theme="10"/>
      <name val="Aptos Narrow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AEDFB"/>
        <bgColor rgb="FFC6EFCE"/>
      </patternFill>
    </fill>
    <fill>
      <patternFill patternType="solid">
        <fgColor rgb="FFE4DFEC"/>
        <bgColor rgb="FFEDEDED"/>
      </patternFill>
    </fill>
    <fill>
      <patternFill patternType="solid">
        <fgColor rgb="FFEEF7FD"/>
        <bgColor rgb="FFF5F3FA"/>
      </patternFill>
    </fill>
    <fill>
      <patternFill patternType="solid">
        <fgColor rgb="FFF5F3FA"/>
        <bgColor rgb="FFEEF7FD"/>
      </patternFill>
    </fill>
    <fill>
      <patternFill patternType="solid">
        <fgColor rgb="FFFFFFFF"/>
        <bgColor rgb="FFF5F3FA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8C8C8C"/>
      </left>
      <right/>
      <top style="thin">
        <color rgb="FF8C8C8C"/>
      </top>
      <bottom/>
      <diagonal/>
    </border>
    <border diagonalUp="false" diagonalDown="false">
      <left style="thin">
        <color rgb="FF8C8C8C"/>
      </left>
      <right style="thin">
        <color rgb="FF8C8C8C"/>
      </right>
      <top style="thin">
        <color rgb="FF8C8C8C"/>
      </top>
      <bottom/>
      <diagonal/>
    </border>
    <border diagonalUp="false" diagonalDown="false">
      <left/>
      <right/>
      <top style="thin">
        <color rgb="FF8C8C8C"/>
      </top>
      <bottom/>
      <diagonal/>
    </border>
    <border diagonalUp="false" diagonalDown="false">
      <left style="thin">
        <color rgb="FF8C8C8C"/>
      </left>
      <right/>
      <top/>
      <bottom/>
      <diagonal/>
    </border>
    <border diagonalUp="false" diagonalDown="false">
      <left style="thin">
        <color rgb="FF8C8C8C"/>
      </left>
      <right style="thin">
        <color rgb="FF8C8C8C"/>
      </right>
      <top style="thin">
        <color rgb="FF8C8C8C"/>
      </top>
      <bottom style="thin">
        <color rgb="FF8C8C8C"/>
      </bottom>
      <diagonal/>
    </border>
    <border diagonalUp="false" diagonalDown="false">
      <left style="thin">
        <color rgb="FF8C8C8C"/>
      </left>
      <right style="thin">
        <color rgb="FF8C8C8C"/>
      </right>
      <top/>
      <bottom style="thin">
        <color rgb="FF8C8C8C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6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6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4" fillId="6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6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3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3" fillId="6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4" fillId="6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6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0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0" fillId="0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7" fillId="0" borderId="5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1"/>
    <cellStyle name="*unknown*" xfId="20" builtinId="8"/>
  </cellStyles>
  <dxfs count="12">
    <dxf>
      <fill>
        <patternFill>
          <bgColor rgb="FFC6EFCE"/>
        </patternFill>
      </fill>
    </dxf>
    <dxf>
      <fill>
        <patternFill>
          <bgColor rgb="FFE2F0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DEDED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E2F0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DEDE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2F0D9"/>
      <rgbColor rgb="FF808080"/>
      <rgbColor rgb="FF9999FF"/>
      <rgbColor rgb="FF993366"/>
      <rgbColor rgb="FFF5F3FA"/>
      <rgbColor rgb="FFCAEDFB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7FD"/>
      <rgbColor rgb="FFC6EFCE"/>
      <rgbColor rgb="FFFFEB9C"/>
      <rgbColor rgb="FFEDEDED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67886"/>
      <rgbColor rgb="FF8C8C8C"/>
      <rgbColor rgb="FF003366"/>
      <rgbColor rgb="FF339966"/>
      <rgbColor rgb="FF0B0B0B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transportdata.gov.lv/lv/card/978835ee-f55b-481c-9791-ba0395d3619a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5"/>
  <sheetViews>
    <sheetView showFormulas="false" showGridLines="false" showRowColHeaders="true" showZeros="true" rightToLeft="false" tabSelected="false" showOutlineSymbols="true" defaultGridColor="true" view="normal" topLeftCell="A25" colorId="64" zoomScale="90" zoomScaleNormal="90" zoomScalePageLayoutView="100" workbookViewId="0">
      <selection pane="topLeft" activeCell="D20" activeCellId="0" sqref="D20"/>
    </sheetView>
  </sheetViews>
  <sheetFormatPr defaultColWidth="11" defaultRowHeight="15.75" zeroHeight="false" outlineLevelRow="0" outlineLevelCol="0"/>
  <cols>
    <col collapsed="false" customWidth="true" hidden="false" outlineLevel="0" max="1" min="1" style="0" width="63.33"/>
    <col collapsed="false" customWidth="true" hidden="false" outlineLevel="0" max="5" min="2" style="0" width="14.16"/>
    <col collapsed="false" customWidth="true" hidden="false" outlineLevel="0" max="6" min="6" style="1" width="36.66"/>
    <col collapsed="false" customWidth="true" hidden="false" outlineLevel="0" max="8" min="7" style="0" width="15"/>
    <col collapsed="false" customWidth="true" hidden="false" outlineLevel="0" max="9" min="9" style="0" width="53.33"/>
    <col collapsed="false" customWidth="true" hidden="false" outlineLevel="0" max="11" min="10" style="1" width="14.16"/>
    <col collapsed="false" customWidth="true" hidden="false" outlineLevel="0" max="12" min="12" style="0" width="14.16"/>
  </cols>
  <sheetData>
    <row r="1" s="3" customFormat="true" ht="27" hidden="false" customHeight="true" outlineLevel="0" collapsed="false">
      <c r="A1" s="2" t="s">
        <v>0</v>
      </c>
      <c r="F1" s="4"/>
      <c r="J1" s="4"/>
      <c r="K1" s="4"/>
      <c r="L1" s="4"/>
    </row>
    <row r="2" customFormat="false" ht="15.75" hidden="false" customHeight="false" outlineLevel="0" collapsed="false">
      <c r="A2" s="5" t="s">
        <v>1</v>
      </c>
      <c r="L2" s="1"/>
    </row>
    <row r="3" customFormat="false" ht="15.75" hidden="false" customHeight="false" outlineLevel="0" collapsed="false">
      <c r="L3" s="1"/>
    </row>
    <row r="4" customFormat="false" ht="15.75" hidden="false" customHeight="false" outlineLevel="0" collapsed="false">
      <c r="A4" s="6" t="s">
        <v>2</v>
      </c>
      <c r="L4" s="1"/>
    </row>
    <row r="5" customFormat="false" ht="31.3" hidden="false" customHeight="fals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7" t="s">
        <v>7</v>
      </c>
      <c r="F5" s="8" t="s">
        <v>8</v>
      </c>
      <c r="G5" s="8" t="s">
        <v>9</v>
      </c>
      <c r="H5" s="8" t="s">
        <v>10</v>
      </c>
      <c r="I5" s="8" t="s">
        <v>11</v>
      </c>
      <c r="J5" s="8" t="s">
        <v>12</v>
      </c>
      <c r="K5" s="9" t="s">
        <v>13</v>
      </c>
      <c r="L5" s="9" t="s">
        <v>14</v>
      </c>
    </row>
    <row r="6" customFormat="false" ht="15.75" hidden="false" customHeight="false" outlineLevel="0" collapsed="false">
      <c r="A6" s="10" t="s">
        <v>15</v>
      </c>
      <c r="B6" s="10"/>
      <c r="C6" s="10"/>
      <c r="D6" s="10"/>
      <c r="E6" s="10"/>
      <c r="F6" s="10"/>
      <c r="G6" s="11"/>
      <c r="H6" s="12"/>
      <c r="I6" s="13"/>
      <c r="J6" s="14"/>
      <c r="K6" s="15"/>
      <c r="L6" s="16"/>
    </row>
    <row r="7" customFormat="false" ht="16.4" hidden="false" customHeight="false" outlineLevel="0" collapsed="false">
      <c r="A7" s="17" t="s">
        <v>16</v>
      </c>
      <c r="B7" s="18" t="s">
        <v>17</v>
      </c>
      <c r="C7" s="18" t="s">
        <v>18</v>
      </c>
      <c r="D7" s="18" t="s">
        <v>19</v>
      </c>
      <c r="E7" s="18" t="s">
        <v>20</v>
      </c>
      <c r="F7" s="19" t="s">
        <v>21</v>
      </c>
      <c r="G7" s="20" t="n">
        <f aca="false">'Rādītāji - vērtības'!M8</f>
        <v>424</v>
      </c>
      <c r="H7" s="20"/>
      <c r="I7" s="21" t="s">
        <v>22</v>
      </c>
      <c r="J7" s="22" t="s">
        <v>19</v>
      </c>
      <c r="K7" s="23" t="s">
        <v>23</v>
      </c>
      <c r="L7" s="24"/>
    </row>
    <row r="8" customFormat="false" ht="31.3" hidden="false" customHeight="false" outlineLevel="0" collapsed="false">
      <c r="A8" s="17" t="s">
        <v>24</v>
      </c>
      <c r="B8" s="18" t="s">
        <v>25</v>
      </c>
      <c r="C8" s="18" t="s">
        <v>26</v>
      </c>
      <c r="D8" s="18" t="s">
        <v>27</v>
      </c>
      <c r="E8" s="18" t="s">
        <v>28</v>
      </c>
      <c r="F8" s="25" t="str">
        <f aca="false">IF(H8="","Nav datu",IF(H8&gt;=1,"Sasniegts",IF(H8&gt;=L8-$B$45,"Atbilst trajektorijai",IF(H8&gt;0,"Atpaliek no trajektorijas","Atpaliek no trajektorijas"))))</f>
        <v>Atbilst trajektorijai</v>
      </c>
      <c r="G8" s="26" t="n">
        <f aca="false">'Rādītāji - vērtības'!M9</f>
        <v>171992</v>
      </c>
      <c r="H8" s="27" t="n">
        <f aca="false">IF(OR(G8="",J8="",K8=""),"",(G8-J8)/(K8-J8))</f>
        <v>0.683863423056268</v>
      </c>
      <c r="I8" s="21" t="s">
        <v>29</v>
      </c>
      <c r="J8" s="28" t="n">
        <v>199243</v>
      </c>
      <c r="K8" s="29" t="n">
        <f aca="false">J8*(1-20%)</f>
        <v>159394.4</v>
      </c>
      <c r="L8" s="24" t="n">
        <f aca="false">IFERROR(($B$40-VALUE(LEFT(E8,4)))/($B$41-VALUE(LEFT(E8,4))),$B$43)</f>
        <v>0.545454545454545</v>
      </c>
    </row>
    <row r="9" customFormat="false" ht="31.3" hidden="false" customHeight="false" outlineLevel="0" collapsed="false">
      <c r="A9" s="17" t="s">
        <v>30</v>
      </c>
      <c r="B9" s="18" t="s">
        <v>31</v>
      </c>
      <c r="C9" s="18" t="s">
        <v>26</v>
      </c>
      <c r="D9" s="18" t="s">
        <v>32</v>
      </c>
      <c r="E9" s="18" t="s">
        <v>28</v>
      </c>
      <c r="F9" s="30" t="str">
        <f aca="false">IF(H9="","Nav datu",IF(H9&gt;=1,"Sasniegts",IF(H9&gt;=L9-$B$45,"Atbilst trajektorijai",IF(H9&gt;0,"Atpaliek no trajektorijas","Atpaliek no trajektorijas"))))</f>
        <v>Atpaliek no trajektorijas</v>
      </c>
      <c r="G9" s="31" t="n">
        <f aca="false">'Rādītāji - vērtības'!M40</f>
        <v>0.455</v>
      </c>
      <c r="H9" s="27" t="n">
        <f aca="false">IF(OR(G9="",J9="",K9=""),"",(G9-J9)/(K9-J9))</f>
        <v>0.210144927536232</v>
      </c>
      <c r="I9" s="32" t="s">
        <v>33</v>
      </c>
      <c r="J9" s="33" t="n">
        <v>0.31</v>
      </c>
      <c r="K9" s="34" t="n">
        <v>1</v>
      </c>
      <c r="L9" s="24" t="n">
        <f aca="false">IFERROR(($B$40-VALUE(LEFT(E9,4)))/($B$41-VALUE(LEFT(E9,4))),$B$43)</f>
        <v>0.545454545454545</v>
      </c>
    </row>
    <row r="10" customFormat="false" ht="76.1" hidden="false" customHeight="false" outlineLevel="0" collapsed="false">
      <c r="A10" s="17" t="s">
        <v>34</v>
      </c>
      <c r="B10" s="18" t="s">
        <v>35</v>
      </c>
      <c r="C10" s="18" t="s">
        <v>26</v>
      </c>
      <c r="D10" s="18" t="s">
        <v>36</v>
      </c>
      <c r="E10" s="18" t="s">
        <v>28</v>
      </c>
      <c r="F10" s="30" t="str">
        <f aca="false">IF(H10="","Nav datu",IF(H10&gt;=1,"Sasniegts",IF(H10&gt;=L10-$B$45,"Atbilst trajektorijai",IF(H10&gt;0,"Atpaliek no trajektorijas","Atpaliek no trajektorijas"))))</f>
        <v>Atpaliek no trajektorijas</v>
      </c>
      <c r="G10" s="27" t="n">
        <f aca="false">'Rādītāji - vērtības'!M79</f>
        <v>0.576</v>
      </c>
      <c r="H10" s="27" t="n">
        <f aca="false">IF(OR(G10="",J10="",K10=""),"",(G10-J10)/(K10-J10))</f>
        <v>0.0709903593339176</v>
      </c>
      <c r="I10" s="32" t="str">
        <f aca="false">"Netiešs: AER īpatsvars elektroenerģijā Latvijā (Eurostat RES-E; palīgdati 'Rādītāji - vērtības' rindā 79; 2025 – provizoriski). Pašvaldība izmanto tīkla elektroenerģiju; bāzes 54,36% atbilst valsts līmeņa rādītājam. Pašvaldības ēkās kopā uzstādīti "&amp;SUBSTITUTE(TEXT('Rādītāji - vērtības'!M17,"0.0"),".",",")&amp;" kWp saules paneļu (rādītājs 1010, kumulatīvi līdz 2025)."</f>
        <v>Netiešs: AER īpatsvars elektroenerģijā Latvijā (Eurostat RES-E; palīgdati 'Rādītāji - vērtības' rindā 79; 2025 – provizoriski). Pašvaldība izmanto tīkla elektroenerģiju; bāzes 54,36% atbilst valsts līmeņa rādītājam. Pašvaldības ēkās kopā uzstādīti 659,3 kWp saules paneļu (rādītājs 1010, kumulatīvi līdz 2025).</v>
      </c>
      <c r="J10" s="35" t="n">
        <v>0.5436</v>
      </c>
      <c r="K10" s="36" t="n">
        <v>1</v>
      </c>
      <c r="L10" s="24" t="n">
        <f aca="false">IFERROR(($B$40-VALUE(LEFT(E10,4)))/($B$41-VALUE(LEFT(E10,4))),$B$43)</f>
        <v>0.545454545454545</v>
      </c>
    </row>
    <row r="11" customFormat="false" ht="31.3" hidden="false" customHeight="false" outlineLevel="0" collapsed="false">
      <c r="A11" s="17" t="s">
        <v>37</v>
      </c>
      <c r="B11" s="18" t="s">
        <v>38</v>
      </c>
      <c r="C11" s="18" t="s">
        <v>26</v>
      </c>
      <c r="D11" s="18" t="s">
        <v>39</v>
      </c>
      <c r="E11" s="18" t="s">
        <v>20</v>
      </c>
      <c r="F11" s="25" t="str">
        <f aca="false">IF(H11="","Nav datu",IF(H11&gt;=1,"Sasniegts",IF(H11&gt;=L11-$B$45,"Atbilst trajektorijai",IF(H11&gt;0,"Atpaliek no trajektorijas","Atpaliek no trajektorijas"))))</f>
        <v>Atbilst trajektorijai</v>
      </c>
      <c r="G11" s="37" t="n">
        <f aca="false">'Rādītāji - vērtības'!M19</f>
        <v>0.392228105753342</v>
      </c>
      <c r="H11" s="27" t="n">
        <f aca="false">IF(OR(G11="",J11="",K11=""),"",(G11-J11)/(K11-J11))</f>
        <v>0.53183702663278</v>
      </c>
      <c r="I11" s="21" t="s">
        <v>40</v>
      </c>
      <c r="J11" s="38" t="n">
        <v>0.497</v>
      </c>
      <c r="K11" s="39" t="n">
        <v>0.3</v>
      </c>
      <c r="L11" s="24" t="n">
        <f aca="false">IFERROR(($B$40-VALUE(LEFT(E11,4)))/($B$41-VALUE(LEFT(E11,4))),$B$43)</f>
        <v>0.5</v>
      </c>
    </row>
    <row r="12" customFormat="false" ht="31.3" hidden="false" customHeight="false" outlineLevel="0" collapsed="false">
      <c r="A12" s="17" t="s">
        <v>41</v>
      </c>
      <c r="B12" s="18" t="s">
        <v>42</v>
      </c>
      <c r="C12" s="18" t="s">
        <v>43</v>
      </c>
      <c r="D12" s="18" t="s">
        <v>44</v>
      </c>
      <c r="E12" s="18" t="s">
        <v>28</v>
      </c>
      <c r="F12" s="25" t="s">
        <v>21</v>
      </c>
      <c r="G12" s="20"/>
      <c r="H12" s="20"/>
      <c r="I12" s="21" t="s">
        <v>45</v>
      </c>
      <c r="J12" s="22"/>
      <c r="K12" s="23"/>
      <c r="L12" s="24" t="n">
        <f aca="false">IFERROR(($B$40-VALUE(LEFT(E12,4)))/($B$41-VALUE(LEFT(E12,4))),$B$43)</f>
        <v>0.545454545454545</v>
      </c>
    </row>
    <row r="13" customFormat="false" ht="61.15" hidden="false" customHeight="false" outlineLevel="0" collapsed="false">
      <c r="A13" s="17" t="s">
        <v>46</v>
      </c>
      <c r="B13" s="18" t="s">
        <v>31</v>
      </c>
      <c r="C13" s="18" t="s">
        <v>26</v>
      </c>
      <c r="D13" s="18" t="s">
        <v>36</v>
      </c>
      <c r="E13" s="18" t="s">
        <v>28</v>
      </c>
      <c r="F13" s="30" t="str">
        <f aca="false">IF(H13="","Nav datu",IF(H13&gt;=1,"Sasniegts",IF(H13&gt;=L13-$B$45,"Atbilst trajektorijai",IF(H13&gt;0,"Atpaliek no trajektorijas","Atpaliek no trajektorijas"))))</f>
        <v>Atpaliek no trajektorijas</v>
      </c>
      <c r="G13" s="27" t="n">
        <f aca="false">'Rādītāji - vērtības'!M79</f>
        <v>0.576</v>
      </c>
      <c r="H13" s="27" t="n">
        <f aca="false">IF(OR(G13="",J13="",K13=""),"",(G13-J13)/(K13-J13))</f>
        <v>0.0709903593339176</v>
      </c>
      <c r="I13" s="32" t="s">
        <v>47</v>
      </c>
      <c r="J13" s="35" t="n">
        <v>0.5436</v>
      </c>
      <c r="K13" s="36" t="n">
        <v>1</v>
      </c>
      <c r="L13" s="24" t="n">
        <f aca="false">IFERROR(($B$40-VALUE(LEFT(E13,4)))/($B$41-VALUE(LEFT(E13,4))),$B$43)</f>
        <v>0.545454545454545</v>
      </c>
    </row>
    <row r="14" customFormat="false" ht="46.25" hidden="false" customHeight="false" outlineLevel="0" collapsed="false">
      <c r="A14" s="17" t="s">
        <v>48</v>
      </c>
      <c r="B14" s="18" t="s">
        <v>35</v>
      </c>
      <c r="C14" s="18" t="s">
        <v>26</v>
      </c>
      <c r="D14" s="18" t="s">
        <v>49</v>
      </c>
      <c r="E14" s="18" t="s">
        <v>28</v>
      </c>
      <c r="F14" s="30" t="str">
        <f aca="false">IF(H14="","Nav datu",IF(H14&gt;=1,"Sasniegts",IF(H14&gt;=L14-$B$45,"Atbilst trajektorijai",IF(H14&gt;0,"Atpaliek no trajektorijas","Atpaliek no trajektorijas"))))</f>
        <v>Atpaliek no trajektorijas</v>
      </c>
      <c r="G14" s="31" t="n">
        <f aca="false">'Rādītāji - vērtības'!M22</f>
        <v>0.11988911988912</v>
      </c>
      <c r="H14" s="27" t="n">
        <f aca="false">IF(OR(G14="",J14="",K14=""),"",(G14-J14)/(K14-J14))</f>
        <v>0.110999110999111</v>
      </c>
      <c r="I14" s="32" t="s">
        <v>50</v>
      </c>
      <c r="J14" s="33" t="n">
        <v>0.01</v>
      </c>
      <c r="K14" s="34" t="n">
        <v>1</v>
      </c>
      <c r="L14" s="24" t="n">
        <f aca="false">IFERROR(($B$40-VALUE(LEFT(E14,4)))/($B$41-VALUE(LEFT(E14,4))),$B$43)</f>
        <v>0.545454545454545</v>
      </c>
    </row>
    <row r="15" customFormat="false" ht="15.75" hidden="false" customHeight="true" outlineLevel="0" collapsed="false">
      <c r="A15" s="40" t="s">
        <v>51</v>
      </c>
      <c r="B15" s="40"/>
      <c r="C15" s="40"/>
      <c r="D15" s="40"/>
      <c r="E15" s="40"/>
      <c r="F15" s="40"/>
      <c r="G15" s="41"/>
      <c r="H15" s="42"/>
      <c r="I15" s="43"/>
      <c r="J15" s="44"/>
      <c r="K15" s="45"/>
      <c r="L15" s="16"/>
    </row>
    <row r="16" customFormat="false" ht="61.15" hidden="false" customHeight="false" outlineLevel="0" collapsed="false">
      <c r="A16" s="17" t="s">
        <v>52</v>
      </c>
      <c r="B16" s="18" t="s">
        <v>53</v>
      </c>
      <c r="C16" s="18" t="s">
        <v>26</v>
      </c>
      <c r="D16" s="18" t="s">
        <v>54</v>
      </c>
      <c r="E16" s="18" t="s">
        <v>28</v>
      </c>
      <c r="F16" s="19" t="str">
        <f aca="false">IF(H16="","Nav datu",IF(H16&gt;=1,"Sasniegts",IF(H16&gt;=L16-$B$45,"Atbilst trajektorijai",IF(H16&gt;0,"Atpaliek no trajektorijas","Atpaliek no trajektorijas"))))</f>
        <v>Atpaliek no trajektorijas</v>
      </c>
      <c r="G16" s="26" t="n">
        <f aca="false">'Rādītāji - vērtības'!M33</f>
        <v>209</v>
      </c>
      <c r="H16" s="27" t="n">
        <f aca="false">IF(OR(G16="",J16="",K16=""),"",(G16-J16)/(K16-J16))</f>
        <v>0.0271591526344378</v>
      </c>
      <c r="I16" s="21" t="s">
        <v>55</v>
      </c>
      <c r="J16" s="28" t="n">
        <v>159</v>
      </c>
      <c r="K16" s="29" t="n">
        <v>2000</v>
      </c>
      <c r="L16" s="24" t="n">
        <f aca="false">IFERROR(($B$40-VALUE(LEFT(E16,4)))/($B$41-VALUE(LEFT(E16,4))),$B$43)</f>
        <v>0.545454545454545</v>
      </c>
    </row>
    <row r="17" customFormat="false" ht="76.1" hidden="false" customHeight="false" outlineLevel="0" collapsed="false">
      <c r="A17" s="17" t="s">
        <v>56</v>
      </c>
      <c r="B17" s="18" t="s">
        <v>25</v>
      </c>
      <c r="C17" s="18" t="s">
        <v>26</v>
      </c>
      <c r="D17" s="46" t="str">
        <f aca="false">SUBSTITUTE(TEXT(J17/1000,"#,##0"),","," ")&amp;" tūkst. MWh (2123 tūkst. MWh)"</f>
        <v>2 456 tūkst. MWh (2123 tūkst. MWh)</v>
      </c>
      <c r="E17" s="18" t="s">
        <v>20</v>
      </c>
      <c r="F17" s="25" t="str">
        <f aca="false">IF(H17="","Nav datu",IF(H17&gt;=1,"Sasniegts",IF(H17&gt;=L17-$B$45,"Atbilst trajektorijai",IF(H17&gt;0,"Atpaliek no trajektorijas","Atpaliek no trajektorijas"))))</f>
        <v>Atbilst trajektorijai</v>
      </c>
      <c r="G17" s="26" t="n">
        <f aca="false">'Rādītāji - vērtības'!M30</f>
        <v>2245623</v>
      </c>
      <c r="H17" s="27" t="n">
        <f aca="false">IF(OR(G17="",J17="",K17=""),"",(G17-J17)/(K17-J17))</f>
        <v>0.427675716882039</v>
      </c>
      <c r="I17" s="21" t="str">
        <f aca="false">"Rādītājs 2001 (siltumenerģijas patēriņš ar klimata korekciju). Bāze pārrēķināta ar klimata korekciju: "&amp;SUBSTITUTE(TEXT(J17,"#,##0"),","," ")&amp;" MWh (iepriekš 2123 tūkst. MWh bez korekcijas). 2025. g. patēriņš – "&amp;SUBSTITUTE(TEXT(G17,"#,##0"),","," ")&amp;" MWh ("&amp;SUBSTITUTE(TEXT(G17/J17-1,"0.0%"),".",",")&amp;" pret bāzi; mērķis −20%). Īpatnējais patēriņš (rādītājs 2002) samazinājies no "&amp;TEXT('Rādītāji - vērtības'!H31,"0")&amp;" līdz "&amp;TEXT('Rādītāji - vērtības'!M31,"0")&amp;" kWh/m2."</f>
        <v>Rādītājs 2001 (siltumenerģijas patēriņš ar klimata korekciju). Bāze pārrēķināta ar klimata korekciju: 2 455 669 MWh (iepriekš 2123 tūkst. MWh bez korekcijas). 2025. g. patēriņš – 2 245 623 MWh (-8,6% pret bāzi; mērķis −20%). Īpatnējais patēriņš (rādītājs 2002) samazinājies no 147 līdz 113 kWh/m2.</v>
      </c>
      <c r="J17" s="28" t="n">
        <f aca="false">'Rādītāji - vērtības'!H30</f>
        <v>2455669</v>
      </c>
      <c r="K17" s="29" t="n">
        <f aca="false">J17*(1-20%)</f>
        <v>1964535.2</v>
      </c>
      <c r="L17" s="24" t="n">
        <f aca="false">IFERROR(($B$40-VALUE(LEFT(E17,4)))/($B$41-VALUE(LEFT(E17,4))),$B$43)</f>
        <v>0.5</v>
      </c>
    </row>
    <row r="18" customFormat="false" ht="16.4" hidden="false" customHeight="true" outlineLevel="0" collapsed="false">
      <c r="A18" s="40" t="s">
        <v>57</v>
      </c>
      <c r="B18" s="40"/>
      <c r="C18" s="40"/>
      <c r="D18" s="40"/>
      <c r="E18" s="40"/>
      <c r="F18" s="40"/>
      <c r="G18" s="41"/>
      <c r="H18" s="42"/>
      <c r="I18" s="43"/>
      <c r="J18" s="44"/>
      <c r="K18" s="45"/>
      <c r="L18" s="16"/>
    </row>
    <row r="19" customFormat="false" ht="16.4" hidden="false" customHeight="false" outlineLevel="0" collapsed="false">
      <c r="A19" s="17" t="s">
        <v>58</v>
      </c>
      <c r="B19" s="18" t="s">
        <v>59</v>
      </c>
      <c r="C19" s="18" t="s">
        <v>26</v>
      </c>
      <c r="D19" s="18" t="s">
        <v>32</v>
      </c>
      <c r="E19" s="18" t="s">
        <v>28</v>
      </c>
      <c r="F19" s="47" t="str">
        <f aca="false">IF(H19="","Nav datu",IF(H19&gt;=1,"Sasniegts",IF(H19&gt;=L19-$B$45,"Atbilst trajektorijai",IF(H19&gt;0,"Atpaliek no trajektorijas","Atpaliek no trajektorijas"))))</f>
        <v>Atpaliek no trajektorijas</v>
      </c>
      <c r="G19" s="31" t="n">
        <f aca="false">'Rādītāji - vērtības'!M40</f>
        <v>0.455</v>
      </c>
      <c r="H19" s="27" t="n">
        <f aca="false">IF(OR(G19="",J19="",K19=""),"",(G19-J19)/(K19-J19))</f>
        <v>0.414285714285714</v>
      </c>
      <c r="I19" s="32" t="s">
        <v>60</v>
      </c>
      <c r="J19" s="33" t="n">
        <v>0.31</v>
      </c>
      <c r="K19" s="34" t="n">
        <v>0.66</v>
      </c>
      <c r="L19" s="24" t="n">
        <f aca="false">IFERROR(($B$40-VALUE(LEFT(E19,4)))/($B$41-VALUE(LEFT(E19,4))),$B$43)</f>
        <v>0.545454545454545</v>
      </c>
    </row>
    <row r="20" customFormat="false" ht="120.85" hidden="false" customHeight="false" outlineLevel="0" collapsed="false">
      <c r="A20" s="17" t="s">
        <v>61</v>
      </c>
      <c r="B20" s="18" t="s">
        <v>62</v>
      </c>
      <c r="C20" s="18" t="s">
        <v>26</v>
      </c>
      <c r="D20" s="18" t="s">
        <v>63</v>
      </c>
      <c r="E20" s="18" t="s">
        <v>28</v>
      </c>
      <c r="F20" s="25" t="str">
        <f aca="false">IF(G20="","Nav datu",IF(G20&lt;K20,"Sasniegts","Atpaliek no trajektorijas"))</f>
        <v>Sasniegts</v>
      </c>
      <c r="G20" s="31" t="n">
        <f aca="false">'Rādītāji - vērtības'!M41</f>
        <v>0.0977</v>
      </c>
      <c r="H20" s="27" t="n">
        <f aca="false">IF(G20="","",IF(G20&lt;K20,1,0))</f>
        <v>1</v>
      </c>
      <c r="I20" s="21" t="s">
        <v>64</v>
      </c>
      <c r="J20" s="33"/>
      <c r="K20" s="34" t="n">
        <v>0.1</v>
      </c>
      <c r="L20" s="24" t="n">
        <f aca="false">IFERROR(($B$40-VALUE(LEFT(E20,4)))/($B$41-VALUE(LEFT(E20,4))),$B$43)</f>
        <v>0.545454545454545</v>
      </c>
    </row>
    <row r="21" customFormat="false" ht="15.75" hidden="false" customHeight="true" outlineLevel="0" collapsed="false">
      <c r="A21" s="40" t="s">
        <v>65</v>
      </c>
      <c r="B21" s="40"/>
      <c r="C21" s="40"/>
      <c r="D21" s="40"/>
      <c r="E21" s="40"/>
      <c r="F21" s="40"/>
      <c r="G21" s="41"/>
      <c r="H21" s="42"/>
      <c r="I21" s="43"/>
      <c r="J21" s="44"/>
      <c r="K21" s="45"/>
      <c r="L21" s="16"/>
    </row>
    <row r="22" customFormat="false" ht="91" hidden="false" customHeight="false" outlineLevel="0" collapsed="false">
      <c r="A22" s="17" t="s">
        <v>66</v>
      </c>
      <c r="B22" s="18" t="s">
        <v>67</v>
      </c>
      <c r="C22" s="18" t="s">
        <v>26</v>
      </c>
      <c r="D22" s="18" t="str">
        <f aca="false">SUBSTITUTE(TEXT(J22*100,"0.0"),".",",")&amp;"% (44%)"</f>
        <v>49,9% (44%)</v>
      </c>
      <c r="E22" s="18" t="s">
        <v>20</v>
      </c>
      <c r="F22" s="19" t="str">
        <f aca="false">IF(H22="","Nav datu",IF(H22&gt;=1,"Sasniegts",IF(H22&gt;=L22-$B$45,"Atbilst trajektorijai",IF(H22&gt;0,"Atpaliek no trajektorijas","Atpaliek no trajektorijas"))))</f>
        <v>Atbilst trajektorijai</v>
      </c>
      <c r="G22" s="31" t="n">
        <f aca="false">'Rādītāji - vērtības'!M45</f>
        <v>0.4272</v>
      </c>
      <c r="H22" s="27" t="n">
        <f aca="false">IF(OR(G22="",J22="",K22=""),"",(G22-J22)/(K22-J22))</f>
        <v>0.724417426545086</v>
      </c>
      <c r="I22" s="21" t="str">
        <f aca="false">"Rādītājs 3007 (decentralizētā kurināmā patēriņš / kopējais siltumenerģijas galapatēriņš; SEG inventarizācija, Kopā_2025 rinda 67 / rinda 24). 2025. g. – "&amp;SUBSTITUTE(TEXT(G22*100,"0.0"),".",",")&amp;"%. Bāze atšķiras no SECAP: SECAP bāzi 44% (2019) nevar atkārtot ar inventarizācijas datiem, tāpēc progress mērīts pret 2020. g. vērtību, kas aprēķināta pēc tās pašas metodes ("&amp;SUBSTITUTE(TEXT(J22*100,"0.0"),".",",")&amp;"%). Mērķis 40% nav mainīts."</f>
        <v>Rādītājs 3007 (decentralizētā kurināmā patēriņš / kopējais siltumenerģijas galapatēriņš; SEG inventarizācija, Kopā_2025 rinda 67 / rinda 24). 2025. g. – 42,7%. Bāze atšķiras no SECAP: SECAP bāzi 44% (2019) nevar atkārtot ar inventarizācijas datiem, tāpēc progress mērīts pret 2020. g. vērtību, kas aprēķināta pēc tās pašas metodes (49,9%). Mērķis 40% nav mainīts.</v>
      </c>
      <c r="J22" s="33" t="n">
        <f aca="false">'Rādītāji - vērtības'!H45</f>
        <v>0.4987</v>
      </c>
      <c r="K22" s="34" t="n">
        <v>0.4</v>
      </c>
      <c r="L22" s="24" t="n">
        <f aca="false">IFERROR(($B$40-VALUE(LEFT(E22,4)))/($B$41-VALUE(LEFT(E22,4))),$B$43)</f>
        <v>0.5</v>
      </c>
    </row>
    <row r="23" customFormat="false" ht="91" hidden="false" customHeight="false" outlineLevel="0" collapsed="false">
      <c r="A23" s="17" t="s">
        <v>68</v>
      </c>
      <c r="B23" s="18" t="s">
        <v>69</v>
      </c>
      <c r="C23" s="18" t="s">
        <v>26</v>
      </c>
      <c r="D23" s="18" t="str">
        <f aca="false">SUBSTITUTE(TEXT(J23*100,"0.0"),".",",")&amp;"% (42%)"</f>
        <v>41,8% (42%)</v>
      </c>
      <c r="E23" s="18" t="s">
        <v>20</v>
      </c>
      <c r="F23" s="25" t="str">
        <f aca="false">IF(H23="","Nav datu",IF(H23&gt;=1,"Sasniegts",IF(H23&gt;=L23-$B$45,"Atbilst trajektorijai",IF(H23&gt;0,"Atpaliek no trajektorijas","Atpaliek no trajektorijas"))))</f>
        <v>Atpaliek no trajektorijas</v>
      </c>
      <c r="G23" s="31" t="n">
        <f aca="false">'Rādītāji - vērtības'!M46</f>
        <v>0.3423</v>
      </c>
      <c r="H23" s="27" t="n">
        <f aca="false">IF(OR(G23="",J23="",K23=""),"",(G23-J23)/(K23-J23))</f>
        <v>-0.417491749174918</v>
      </c>
      <c r="I23" s="21" t="str">
        <f aca="false">"Rādītājs 3008 (AER – biomasa ārpus CSS un mājsaimniecību AER – īpatsvars decentralizētā kurināmā patēriņā; SEG inventarizācija). 2025. g. – "&amp;SUBSTITUTE(TEXT(G23*100,"0.0"),".",",")&amp;"%. Bāze atšķiras no SECAP: progress mērīts pret 2020. g. vērtību pēc inventarizācijas ("&amp;SUBSTITUTE(TEXT(J23*100,"0.0"),".",",")&amp;"%; SECAP 42%, 2019). Gada vērtības svārstās (34–43%), jo mainās biomasas sadalījums starp CSS un decentralizēto apgādi."</f>
        <v>Rādītājs 3008 (AER – biomasa ārpus CSS un mājsaimniecību AER – īpatsvars decentralizētā kurināmā patēriņā; SEG inventarizācija). 2025. g. – 34,2%. Bāze atšķiras no SECAP: progress mērīts pret 2020. g. vērtību pēc inventarizācijas (41,8%; SECAP 42%, 2019). Gada vērtības svārstās (34–43%), jo mainās biomasas sadalījums starp CSS un decentralizēto apgādi.</v>
      </c>
      <c r="J23" s="33" t="n">
        <f aca="false">'Rādītāji - vērtības'!H46</f>
        <v>0.4182</v>
      </c>
      <c r="K23" s="34" t="n">
        <v>0.6</v>
      </c>
      <c r="L23" s="24" t="n">
        <f aca="false">IFERROR(($B$40-VALUE(LEFT(E23,4)))/($B$41-VALUE(LEFT(E23,4))),$B$43)</f>
        <v>0.5</v>
      </c>
    </row>
    <row r="24" customFormat="false" ht="46.25" hidden="false" customHeight="false" outlineLevel="0" collapsed="false">
      <c r="A24" s="17" t="s">
        <v>70</v>
      </c>
      <c r="B24" s="18" t="s">
        <v>71</v>
      </c>
      <c r="C24" s="18" t="s">
        <v>26</v>
      </c>
      <c r="D24" s="18" t="s">
        <v>72</v>
      </c>
      <c r="E24" s="18" t="s">
        <v>20</v>
      </c>
      <c r="F24" s="25" t="str">
        <f aca="false">IF(H24="","Nav datu",IF(H24&gt;=1,"Sasniegts",IF(H24&gt;=L24-$B$45,"Atbilst trajektorijai",IF(H24&gt;0,"Atpaliek no trajektorijas","Atpaliek no trajektorijas"))))</f>
        <v>Atbilst trajektorijai</v>
      </c>
      <c r="G24" s="26" t="n">
        <f aca="false">'Rādītāji - vērtības'!M44</f>
        <v>2516.877</v>
      </c>
      <c r="H24" s="27" t="n">
        <f aca="false">IF(OR(G24="",J24="",K24=""),"",(G24-J24)/(K24-J24))</f>
        <v>0.90929692767023</v>
      </c>
      <c r="I24" s="21" t="s">
        <v>73</v>
      </c>
      <c r="J24" s="28" t="n">
        <f aca="false">'Rādītāji - vērtības'!H44</f>
        <v>3461</v>
      </c>
      <c r="K24" s="29" t="n">
        <f aca="false">J24*(1-30%)</f>
        <v>2422.7</v>
      </c>
      <c r="L24" s="24" t="n">
        <f aca="false">IFERROR(($B$40-VALUE(LEFT(E24,4)))/($B$41-VALUE(LEFT(E24,4))),$B$43)</f>
        <v>0.5</v>
      </c>
    </row>
    <row r="25" customFormat="false" ht="16.4" hidden="false" customHeight="true" outlineLevel="0" collapsed="false">
      <c r="A25" s="40" t="s">
        <v>74</v>
      </c>
      <c r="B25" s="40"/>
      <c r="C25" s="40"/>
      <c r="D25" s="40"/>
      <c r="E25" s="40"/>
      <c r="F25" s="40"/>
      <c r="G25" s="41"/>
      <c r="H25" s="42"/>
      <c r="I25" s="43"/>
      <c r="J25" s="44"/>
      <c r="K25" s="45"/>
      <c r="L25" s="16"/>
    </row>
    <row r="26" customFormat="false" ht="16.4" hidden="false" customHeight="false" outlineLevel="0" collapsed="false">
      <c r="A26" s="17" t="s">
        <v>75</v>
      </c>
      <c r="B26" s="18" t="s">
        <v>76</v>
      </c>
      <c r="C26" s="18" t="s">
        <v>26</v>
      </c>
      <c r="D26" s="18" t="s">
        <v>77</v>
      </c>
      <c r="E26" s="18" t="s">
        <v>28</v>
      </c>
      <c r="F26" s="19" t="str">
        <f aca="false">IF(H26="","Nav datu",IF(H26&gt;=1,"Sasniegts",IF(H26&gt;=L26-$B$45,"Atbilst trajektorijai",IF(H26&gt;0,"Atpaliek no trajektorijas","Atpaliek no trajektorijas"))))</f>
        <v>Atpaliek no trajektorijas</v>
      </c>
      <c r="G26" s="31" t="n">
        <f aca="false">'Rādītāji - vērtības'!M48</f>
        <v>0.067</v>
      </c>
      <c r="H26" s="27" t="n">
        <f aca="false">IF(OR(G26="",J26="",K26=""),"",(G26-J26)/(K26-J26))</f>
        <v>0.245454545454546</v>
      </c>
      <c r="I26" s="21" t="s">
        <v>78</v>
      </c>
      <c r="J26" s="33" t="n">
        <v>0.04</v>
      </c>
      <c r="K26" s="34" t="n">
        <v>0.15</v>
      </c>
      <c r="L26" s="24" t="n">
        <f aca="false">IFERROR(($B$40-VALUE(LEFT(E26,4)))/($B$41-VALUE(LEFT(E26,4))),$B$43)</f>
        <v>0.545454545454545</v>
      </c>
    </row>
    <row r="27" customFormat="false" ht="16.4" hidden="false" customHeight="true" outlineLevel="0" collapsed="false">
      <c r="A27" s="40" t="s">
        <v>79</v>
      </c>
      <c r="B27" s="40"/>
      <c r="C27" s="40"/>
      <c r="D27" s="40"/>
      <c r="E27" s="40"/>
      <c r="F27" s="40"/>
      <c r="G27" s="41"/>
      <c r="H27" s="42"/>
      <c r="I27" s="43"/>
      <c r="J27" s="44"/>
      <c r="K27" s="45"/>
      <c r="L27" s="16"/>
    </row>
    <row r="28" customFormat="false" ht="16.4" hidden="false" customHeight="false" outlineLevel="0" collapsed="false">
      <c r="A28" s="17" t="s">
        <v>80</v>
      </c>
      <c r="B28" s="18" t="s">
        <v>81</v>
      </c>
      <c r="C28" s="18" t="s">
        <v>26</v>
      </c>
      <c r="D28" s="18" t="s">
        <v>82</v>
      </c>
      <c r="E28" s="18" t="s">
        <v>28</v>
      </c>
      <c r="F28" s="19" t="str">
        <f aca="false">IF(H28="","Nav datu",IF(H28&gt;=1,"Sasniegts",IF(H28&gt;=L28-$B$45,"Atbilst trajektorijai",IF(H28&gt;0,"Atpaliek no trajektorijas","Atpaliek no trajektorijas"))))</f>
        <v>Atbilst trajektorijai</v>
      </c>
      <c r="G28" s="31" t="n">
        <f aca="false">'Rādītāji - vērtības'!M63</f>
        <v>0.354465468845</v>
      </c>
      <c r="H28" s="27" t="n">
        <f aca="false">IF(OR(G28="",J28="",K28=""),"",(G28-J28)/(K28-J28))</f>
        <v>0.571957261308824</v>
      </c>
      <c r="I28" s="21" t="s">
        <v>83</v>
      </c>
      <c r="J28" s="33" t="n">
        <v>0.16</v>
      </c>
      <c r="K28" s="34" t="n">
        <v>0.5</v>
      </c>
      <c r="L28" s="24" t="n">
        <f aca="false">IFERROR(($B$40-VALUE(LEFT(E28,4)))/($B$41-VALUE(LEFT(E28,4))),$B$43)</f>
        <v>0.545454545454545</v>
      </c>
    </row>
    <row r="29" customFormat="false" ht="105.95" hidden="false" customHeight="false" outlineLevel="0" collapsed="false">
      <c r="A29" s="17" t="s">
        <v>84</v>
      </c>
      <c r="B29" s="18" t="s">
        <v>85</v>
      </c>
      <c r="C29" s="18" t="s">
        <v>26</v>
      </c>
      <c r="D29" s="18" t="s">
        <v>86</v>
      </c>
      <c r="E29" s="18" t="s">
        <v>28</v>
      </c>
      <c r="F29" s="25" t="str">
        <f aca="false">IF(H29="","Nav datu",IF(H29&gt;=1,"Sasniegts",IF(H29&gt;=L29-$B$45,"Atbilst trajektorijai",IF(H29&gt;0,"Atpaliek no trajektorijas","Atpaliek no trajektorijas"))))</f>
        <v>Nav datu</v>
      </c>
      <c r="G29" s="20"/>
      <c r="H29" s="20" t="str">
        <f aca="false">IF(OR(G29="",J29="",K29=""),"",(G29-J29)/(K29-J29))</f>
        <v/>
      </c>
      <c r="I29" s="21" t="s">
        <v>87</v>
      </c>
      <c r="J29" s="22"/>
      <c r="K29" s="23"/>
      <c r="L29" s="24" t="n">
        <f aca="false">IFERROR(($B$40-VALUE(LEFT(E29,4)))/($B$41-VALUE(LEFT(E29,4))),$B$43)</f>
        <v>0.545454545454545</v>
      </c>
    </row>
    <row r="30" customFormat="false" ht="15.75" hidden="false" customHeight="false" outlineLevel="0" collapsed="false">
      <c r="A30" s="48"/>
      <c r="B30" s="48"/>
      <c r="C30" s="48"/>
      <c r="D30" s="48"/>
      <c r="E30" s="48"/>
      <c r="F30" s="49"/>
      <c r="G30" s="48"/>
      <c r="H30" s="48"/>
      <c r="I30" s="48"/>
      <c r="J30" s="50"/>
      <c r="K30" s="50"/>
      <c r="L30" s="50"/>
    </row>
    <row r="31" customFormat="false" ht="15.75" hidden="false" customHeight="false" outlineLevel="0" collapsed="false">
      <c r="F31" s="51"/>
      <c r="L31" s="1"/>
    </row>
    <row r="32" customFormat="false" ht="15.75" hidden="false" customHeight="false" outlineLevel="0" collapsed="false">
      <c r="A32" s="6" t="s">
        <v>88</v>
      </c>
      <c r="F32" s="51"/>
      <c r="L32" s="1"/>
    </row>
    <row r="33" customFormat="false" ht="31.3" hidden="false" customHeight="false" outlineLevel="0" collapsed="false">
      <c r="A33" s="7" t="s">
        <v>3</v>
      </c>
      <c r="B33" s="7" t="s">
        <v>4</v>
      </c>
      <c r="C33" s="7" t="s">
        <v>5</v>
      </c>
      <c r="D33" s="7" t="s">
        <v>6</v>
      </c>
      <c r="E33" s="7" t="s">
        <v>7</v>
      </c>
      <c r="F33" s="8" t="s">
        <v>8</v>
      </c>
      <c r="G33" s="8" t="s">
        <v>9</v>
      </c>
      <c r="H33" s="8" t="s">
        <v>10</v>
      </c>
      <c r="I33" s="8" t="s">
        <v>11</v>
      </c>
      <c r="J33" s="8" t="s">
        <v>12</v>
      </c>
      <c r="K33" s="9" t="s">
        <v>13</v>
      </c>
      <c r="L33" s="9" t="s">
        <v>14</v>
      </c>
    </row>
    <row r="34" customFormat="false" ht="63.75" hidden="false" customHeight="true" outlineLevel="0" collapsed="false">
      <c r="A34" s="17" t="s">
        <v>89</v>
      </c>
      <c r="B34" s="18" t="s">
        <v>90</v>
      </c>
      <c r="C34" s="18" t="s">
        <v>26</v>
      </c>
      <c r="D34" s="18" t="s">
        <v>91</v>
      </c>
      <c r="E34" s="18" t="s">
        <v>92</v>
      </c>
      <c r="F34" s="25" t="str">
        <f aca="false">IF(H34="","Nav datu",IF(H34&gt;=1,"Sasniegts",IF(H34&gt;=L34-$B$45,"Atbilst trajektorijai",IF(H34&gt;0,"Atpaliek no trajektorijas","Atpaliek no trajektorijas"))))</f>
        <v>Atpaliek no trajektorijas</v>
      </c>
      <c r="G34" s="31" t="n">
        <f aca="false">'Rādītāji - vērtības'!M71</f>
        <v>-0.0964421113304982</v>
      </c>
      <c r="H34" s="27" t="n">
        <f aca="false">IF(OR(G34="",J34="",K34=""),"",(G34-J34)/(K34-J34))</f>
        <v>0.321473704434994</v>
      </c>
      <c r="I34" s="21" t="str">
        <f aca="false">"Pret 2019. g.: "&amp;SUBSTITUTE(TEXT(G34,"+0.0%;-0.0%"),".",",")&amp;" (mērķis -30%). Pret 1990. g.: "&amp;SUBSTITUTE(TEXT('Rādītāji - vērtības'!M70,"+0.0%;-0.0%"),".",",")&amp;" (mērķis -70%). Rādītāji 5002–5003."</f>
        <v>Pret 2019. g.: -9,6% (mērķis -30%). Pret 1990. g.: -63,3% (mērķis -70%). Rādītāji 5002–5003.</v>
      </c>
      <c r="J34" s="33" t="n">
        <v>0</v>
      </c>
      <c r="K34" s="34" t="n">
        <v>-0.3</v>
      </c>
      <c r="L34" s="24" t="n">
        <f aca="false">IFERROR(($B$40-VALUE(LEFT(E34,4)))/($B$41-VALUE(LEFT(E34,4))),$B$43)</f>
        <v>0.545454545454545</v>
      </c>
    </row>
    <row r="35" customFormat="false" ht="61.15" hidden="false" customHeight="false" outlineLevel="0" collapsed="false">
      <c r="A35" s="17" t="s">
        <v>93</v>
      </c>
      <c r="B35" s="18" t="s">
        <v>94</v>
      </c>
      <c r="C35" s="18" t="s">
        <v>26</v>
      </c>
      <c r="D35" s="18" t="s">
        <v>95</v>
      </c>
      <c r="E35" s="18" t="s">
        <v>92</v>
      </c>
      <c r="F35" s="25" t="str">
        <f aca="false">IF(H35="","Nav datu",IF(H35&gt;=1,"Sasniegts",IF(H35&gt;=L35-$B$45,"Atbilst trajektorijai",IF(H35&gt;0,"Atpaliek no trajektorijas","Atpaliek no trajektorijas"))))</f>
        <v>Atpaliek no trajektorijas</v>
      </c>
      <c r="G35" s="31" t="n">
        <f aca="false">'Rādītāji - vērtības'!M73</f>
        <v>-0.126065479590715</v>
      </c>
      <c r="H35" s="27" t="n">
        <f aca="false">IF(OR(G35="",J35="",K35=""),"",(G35-J35)/(K35-J35))</f>
        <v>0.420218265302384</v>
      </c>
      <c r="I35" s="21" t="str">
        <f aca="false">"Pret 2019. g.: "&amp;SUBSTITUTE(TEXT(G35,"+0.0%;-0.0%"),".",",")&amp;" (mērķis -30%). Pret 1990. g.: "&amp;SUBSTITUTE(TEXT('Rādītāji - vērtības'!M72,"+0.0%;-0.0%"),".",",")&amp;" (mērķis -51%). *Bāze 2019 = 934 kt pēc SEG inventarizācijas (CSS 386 + elektroenerģija 247 + kurināmais 301 kt); SECAP 4.2. tabulā norādīts 914 kt, kas neatbilst inventarizācijas datiem. Rādītāji 5004–5005."</f>
        <v>Pret 2019. g.: -12,6% (mērķis -30%). Pret 1990. g.: -41,7% (mērķis -51%). *Bāze 2019 = 934 kt pēc SEG inventarizācijas (CSS 386 + elektroenerģija 247 + kurināmais 301 kt); SECAP 4.2. tabulā norādīts 914 kt, kas neatbilst inventarizācijas datiem. Rādītāji 5004–5005.</v>
      </c>
      <c r="J35" s="33" t="n">
        <v>0</v>
      </c>
      <c r="K35" s="34" t="n">
        <v>-0.3</v>
      </c>
      <c r="L35" s="24" t="n">
        <f aca="false">IFERROR(($B$40-VALUE(LEFT(E35,4)))/($B$41-VALUE(LEFT(E35,4))),$B$43)</f>
        <v>0.545454545454545</v>
      </c>
    </row>
    <row r="36" customFormat="false" ht="61.15" hidden="false" customHeight="false" outlineLevel="0" collapsed="false">
      <c r="A36" s="17" t="s">
        <v>96</v>
      </c>
      <c r="B36" s="18" t="s">
        <v>97</v>
      </c>
      <c r="C36" s="18" t="s">
        <v>26</v>
      </c>
      <c r="D36" s="18" t="s">
        <v>98</v>
      </c>
      <c r="E36" s="18" t="s">
        <v>92</v>
      </c>
      <c r="F36" s="25" t="str">
        <f aca="false">IF(H36="","Nav datu",IF(H36&gt;=1,"Sasniegts",IF(H36&gt;=L36-$B$45,"Atbilst trajektorijai",IF(H36&gt;0,"Atpaliek no trajektorijas","Atpaliek no trajektorijas"))))</f>
        <v>Atpaliek no trajektorijas</v>
      </c>
      <c r="G36" s="31" t="n">
        <f aca="false">'Rādītāji - vērtības'!M75</f>
        <v>-0.0621992574257425</v>
      </c>
      <c r="H36" s="27" t="n">
        <f aca="false">IF(OR(G36="",J36="",K36=""),"",(G36-J36)/(K36-J36))</f>
        <v>0.207330858085808</v>
      </c>
      <c r="I36" s="21" t="str">
        <f aca="false">"Pret 2019. g.: "&amp;SUBSTITUTE(TEXT(G36,"+0.0%;-0.0%"),".",",")&amp;" (mērķis -30%). Pret 1990. g.: "&amp;SUBSTITUTE(TEXT('Rādītāji - vērtības'!M74,"+0.0%;-0.0%"),".",",")&amp;" (pieļaujams +21,5%). *Bāze 2019 = 808 kt pēc SEG inventarizācijas (2019. g. dati no iepriekšējā rīcības plāna monitoringa ziņojuma); SECAP 4.2. tabulā norādīts 729 kt. Rādītāji 5006–5007."</f>
        <v>Pret 2019. g.: -6,2% (mērķis -30%). Pret 1990. g.: +26,3% (pieļaujams +21,5%). *Bāze 2019 = 808 kt pēc SEG inventarizācijas (2019. g. dati no iepriekšējā rīcības plāna monitoringa ziņojuma); SECAP 4.2. tabulā norādīts 729 kt. Rādītāji 5006–5007.</v>
      </c>
      <c r="J36" s="33" t="n">
        <v>0</v>
      </c>
      <c r="K36" s="34" t="n">
        <v>-0.3</v>
      </c>
      <c r="L36" s="24" t="n">
        <f aca="false">IFERROR(($B$40-VALUE(LEFT(E36,4)))/($B$41-VALUE(LEFT(E36,4))),$B$43)</f>
        <v>0.545454545454545</v>
      </c>
    </row>
    <row r="37" customFormat="false" ht="58.5" hidden="false" customHeight="true" outlineLevel="0" collapsed="false">
      <c r="A37" s="17" t="s">
        <v>99</v>
      </c>
      <c r="B37" s="18" t="s">
        <v>100</v>
      </c>
      <c r="C37" s="18" t="s">
        <v>26</v>
      </c>
      <c r="D37" s="18" t="s">
        <v>101</v>
      </c>
      <c r="E37" s="18" t="s">
        <v>28</v>
      </c>
      <c r="F37" s="25" t="str">
        <f aca="false">IF(H37="","Nav datu",IF(H37&gt;=1,"Sasniegts",IF(H37&gt;=L37-$B$45,"Atbilst trajektorijai",IF(H37&gt;0,"Atpaliek no trajektorijas","Atpaliek no trajektorijas"))))</f>
        <v>Atpaliek no trajektorijas</v>
      </c>
      <c r="G37" s="31" t="n">
        <f aca="false">'Rādītāji - vērtības'!M76</f>
        <v>-0.273105244828543</v>
      </c>
      <c r="H37" s="27" t="n">
        <f aca="false">IF(OR(G37="",J37="",K37=""),"",(G37-J37)/(K37-J37))</f>
        <v>0.273105244828543</v>
      </c>
      <c r="I37" s="21" t="str">
        <f aca="false">"Pret 2019. g.: "&amp;SUBSTITUTE(TEXT(G37,"+0.0%;-0.0%"),".",",")&amp;" (mērķis -100%). Rādītājs 5008 (bāze 37,9 kt, ietverot ūdensapgādi)."</f>
        <v>Pret 2019. g.: -27,3% (mērķis -100%). Rādītājs 5008 (bāze 37,9 kt, ietverot ūdensapgādi).</v>
      </c>
      <c r="J37" s="33" t="n">
        <v>0</v>
      </c>
      <c r="K37" s="34" t="n">
        <v>-1</v>
      </c>
      <c r="L37" s="24" t="n">
        <f aca="false">IFERROR(($B$40-VALUE(LEFT(E37,4)))/($B$41-VALUE(LEFT(E37,4))),$B$43)</f>
        <v>0.545454545454545</v>
      </c>
    </row>
    <row r="38" customFormat="false" ht="15.75" hidden="false" customHeight="false" outlineLevel="0" collapsed="false">
      <c r="A38" s="48"/>
      <c r="B38" s="48"/>
      <c r="C38" s="48"/>
      <c r="D38" s="48"/>
      <c r="E38" s="48"/>
      <c r="F38" s="50"/>
      <c r="G38" s="48"/>
      <c r="H38" s="48"/>
      <c r="I38" s="48"/>
      <c r="J38" s="50"/>
      <c r="K38" s="50"/>
      <c r="L38" s="50"/>
    </row>
    <row r="39" customFormat="false" ht="15.75" hidden="false" customHeight="false" outlineLevel="0" collapsed="false">
      <c r="A39" s="52" t="s">
        <v>102</v>
      </c>
      <c r="L39" s="1"/>
    </row>
    <row r="40" customFormat="false" ht="15.75" hidden="false" customHeight="false" outlineLevel="0" collapsed="false">
      <c r="A40" s="0" t="s">
        <v>103</v>
      </c>
      <c r="B40" s="53" t="n">
        <v>2025</v>
      </c>
      <c r="L40" s="1"/>
    </row>
    <row r="41" customFormat="false" ht="15.75" hidden="false" customHeight="false" outlineLevel="0" collapsed="false">
      <c r="A41" s="0" t="s">
        <v>5</v>
      </c>
      <c r="B41" s="53" t="n">
        <v>2030</v>
      </c>
      <c r="L41" s="1"/>
    </row>
    <row r="42" customFormat="false" ht="15.75" hidden="false" customHeight="false" outlineLevel="0" collapsed="false">
      <c r="A42" s="0" t="s">
        <v>7</v>
      </c>
      <c r="B42" s="53" t="n">
        <v>2019</v>
      </c>
      <c r="C42" s="54" t="s">
        <v>104</v>
      </c>
      <c r="L42" s="1"/>
    </row>
    <row r="43" customFormat="false" ht="15.75" hidden="false" customHeight="false" outlineLevel="0" collapsed="false">
      <c r="A43" s="0" t="s">
        <v>105</v>
      </c>
      <c r="B43" s="55" t="n">
        <f aca="false">(B40-B42)/(B41-B42)</f>
        <v>0.545454545454545</v>
      </c>
      <c r="L43" s="1"/>
    </row>
    <row r="44" customFormat="false" ht="15.75" hidden="false" customHeight="false" outlineLevel="0" collapsed="false">
      <c r="A44" s="0" t="s">
        <v>106</v>
      </c>
      <c r="L44" s="1"/>
    </row>
    <row r="45" customFormat="false" ht="15.75" hidden="false" customHeight="false" outlineLevel="0" collapsed="false">
      <c r="A45" s="0" t="s">
        <v>107</v>
      </c>
      <c r="B45" s="56" t="n">
        <v>0.1</v>
      </c>
      <c r="L45" s="1"/>
    </row>
  </sheetData>
  <mergeCells count="6">
    <mergeCell ref="A6:F6"/>
    <mergeCell ref="A15:F15"/>
    <mergeCell ref="A18:F18"/>
    <mergeCell ref="A21:F21"/>
    <mergeCell ref="A25:F25"/>
    <mergeCell ref="A27:F27"/>
  </mergeCells>
  <conditionalFormatting sqref="F7:F29">
    <cfRule type="containsText" priority="2" operator="containsText" aboveAverage="0" equalAverage="0" bottom="0" percent="0" rank="0" text="Sasniegts" dxfId="0">
      <formula>NOT(ISERROR(SEARCH("Sasniegts",F7)))</formula>
    </cfRule>
    <cfRule type="containsText" priority="3" operator="containsText" aboveAverage="0" equalAverage="0" bottom="0" percent="0" rank="0" text="Atbilst trajektorijai" dxfId="1">
      <formula>NOT(ISERROR(SEARCH("Atbilst trajektorijai",F7)))</formula>
    </cfRule>
    <cfRule type="containsText" priority="4" operator="containsText" aboveAverage="0" equalAverage="0" bottom="0" percent="0" rank="0" text="Atpaliek no trajektorijas" dxfId="2">
      <formula>NOT(ISERROR(SEARCH("Atpaliek no trajektorijas",F7)))</formula>
    </cfRule>
    <cfRule type="containsText" priority="5" operator="containsText" aboveAverage="0" equalAverage="0" bottom="0" percent="0" rank="0" text="Nav progresa" dxfId="3">
      <formula>NOT(ISERROR(SEARCH("Nav progresa",F7)))</formula>
    </cfRule>
    <cfRule type="containsText" priority="6" operator="containsText" aboveAverage="0" equalAverage="0" bottom="0" percent="0" rank="0" text="Nav datu" dxfId="4">
      <formula>NOT(ISERROR(SEARCH("Nav datu",F7)))</formula>
    </cfRule>
    <cfRule type="containsText" priority="7" operator="containsText" aboveAverage="0" equalAverage="0" bottom="0" percent="0" rank="0" text="izpildīts" dxfId="5">
      <formula>NOT(ISERROR(SEARCH("izpildīts",F7)))</formula>
    </cfRule>
  </conditionalFormatting>
  <conditionalFormatting sqref="F34:F37">
    <cfRule type="containsText" priority="8" operator="containsText" aboveAverage="0" equalAverage="0" bottom="0" percent="0" rank="0" text="Sasniegts" dxfId="6">
      <formula>NOT(ISERROR(SEARCH("Sasniegts",F34)))</formula>
    </cfRule>
    <cfRule type="containsText" priority="9" operator="containsText" aboveAverage="0" equalAverage="0" bottom="0" percent="0" rank="0" text="Atbilst trajektorijai" dxfId="7">
      <formula>NOT(ISERROR(SEARCH("Atbilst trajektorijai",F34)))</formula>
    </cfRule>
    <cfRule type="containsText" priority="10" operator="containsText" aboveAverage="0" equalAverage="0" bottom="0" percent="0" rank="0" text="Atpaliek no trajektorijas" dxfId="8">
      <formula>NOT(ISERROR(SEARCH("Atpaliek no trajektorijas",F34)))</formula>
    </cfRule>
    <cfRule type="containsText" priority="11" operator="containsText" aboveAverage="0" equalAverage="0" bottom="0" percent="0" rank="0" text="Nav progresa" dxfId="9">
      <formula>NOT(ISERROR(SEARCH("Nav progresa",F34)))</formula>
    </cfRule>
    <cfRule type="containsText" priority="12" operator="containsText" aboveAverage="0" equalAverage="0" bottom="0" percent="0" rank="0" text="Nav datu" dxfId="10">
      <formula>NOT(ISERROR(SEARCH("Nav datu",F34)))</formula>
    </cfRule>
    <cfRule type="containsText" priority="13" operator="containsText" aboveAverage="0" equalAverage="0" bottom="0" percent="0" rank="0" text="izpildīts" dxfId="11">
      <formula>NOT(ISERROR(SEARCH("izpildīts",F34)))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U79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A55" activeCellId="0" sqref="A55"/>
    </sheetView>
  </sheetViews>
  <sheetFormatPr defaultColWidth="11" defaultRowHeight="15.75" zeroHeight="false" outlineLevelRow="0" outlineLevelCol="0"/>
  <cols>
    <col collapsed="false" customWidth="true" hidden="false" outlineLevel="0" max="3" min="3" style="0" width="68.83"/>
    <col collapsed="false" customWidth="true" hidden="false" outlineLevel="0" max="4" min="4" style="0" width="19.83"/>
    <col collapsed="false" customWidth="true" hidden="false" outlineLevel="0" max="5" min="5" style="0" width="21.66"/>
    <col collapsed="false" customWidth="true" hidden="false" outlineLevel="0" max="6" min="6" style="0" width="18.83"/>
  </cols>
  <sheetData>
    <row r="6" customFormat="false" ht="16.5" hidden="false" customHeight="true" outlineLevel="0" collapsed="false">
      <c r="B6" s="57"/>
      <c r="C6" s="57" t="s">
        <v>108</v>
      </c>
      <c r="D6" s="57" t="s">
        <v>109</v>
      </c>
      <c r="E6" s="57" t="s">
        <v>110</v>
      </c>
      <c r="F6" s="57" t="s">
        <v>111</v>
      </c>
      <c r="G6" s="58"/>
      <c r="H6" s="57" t="n">
        <v>2020</v>
      </c>
      <c r="I6" s="57" t="n">
        <v>2021</v>
      </c>
      <c r="J6" s="57" t="n">
        <v>2022</v>
      </c>
      <c r="K6" s="57" t="n">
        <v>2023</v>
      </c>
      <c r="L6" s="57" t="n">
        <v>2024</v>
      </c>
      <c r="M6" s="57" t="n">
        <v>2025</v>
      </c>
    </row>
    <row r="7" customFormat="false" ht="15.75" hidden="false" customHeight="false" outlineLevel="0" collapsed="false">
      <c r="B7" s="59"/>
      <c r="C7" s="59" t="s">
        <v>112</v>
      </c>
      <c r="D7" s="59"/>
      <c r="E7" s="59"/>
      <c r="F7" s="59"/>
      <c r="G7" s="59"/>
      <c r="H7" s="59"/>
      <c r="I7" s="59"/>
      <c r="J7" s="59"/>
      <c r="K7" s="59"/>
      <c r="L7" s="59"/>
      <c r="M7" s="59"/>
    </row>
    <row r="8" customFormat="false" ht="15.75" hidden="false" customHeight="false" outlineLevel="0" collapsed="false">
      <c r="B8" s="60" t="n">
        <v>1001</v>
      </c>
      <c r="C8" s="60" t="s">
        <v>113</v>
      </c>
      <c r="D8" s="60" t="s">
        <v>114</v>
      </c>
      <c r="E8" s="60" t="s">
        <v>115</v>
      </c>
      <c r="F8" s="60" t="s">
        <v>116</v>
      </c>
      <c r="G8" s="61"/>
      <c r="H8" s="62"/>
      <c r="I8" s="62"/>
      <c r="J8" s="62" t="n">
        <v>369</v>
      </c>
      <c r="K8" s="62" t="n">
        <v>413</v>
      </c>
      <c r="L8" s="62" t="n">
        <v>432</v>
      </c>
      <c r="M8" s="62" t="n">
        <v>424</v>
      </c>
    </row>
    <row r="9" customFormat="false" ht="15.75" hidden="false" customHeight="false" outlineLevel="0" collapsed="false">
      <c r="B9" s="60" t="n">
        <v>1002</v>
      </c>
      <c r="C9" s="60" t="s">
        <v>117</v>
      </c>
      <c r="D9" s="60" t="s">
        <v>114</v>
      </c>
      <c r="E9" s="60" t="s">
        <v>115</v>
      </c>
      <c r="F9" s="60" t="s">
        <v>118</v>
      </c>
      <c r="G9" s="61"/>
      <c r="H9" s="62" t="n">
        <f aca="false">SUM(H10:H11)</f>
        <v>199244</v>
      </c>
      <c r="I9" s="62" t="n">
        <f aca="false">SUM(I10:I11)</f>
        <v>207305</v>
      </c>
      <c r="J9" s="62" t="n">
        <f aca="false">SUM(J10:J11)</f>
        <v>191018</v>
      </c>
      <c r="K9" s="62" t="n">
        <f aca="false">SUM(K10:K11)</f>
        <v>171047</v>
      </c>
      <c r="L9" s="62" t="n">
        <f aca="false">SUM(L10:L11)</f>
        <v>167576</v>
      </c>
      <c r="M9" s="62" t="n">
        <f aca="false">SUM(M10:M11)</f>
        <v>171992</v>
      </c>
    </row>
    <row r="10" customFormat="false" ht="15.75" hidden="false" customHeight="false" outlineLevel="0" collapsed="false">
      <c r="B10" s="60" t="n">
        <v>1003</v>
      </c>
      <c r="C10" s="60" t="s">
        <v>119</v>
      </c>
      <c r="D10" s="60" t="s">
        <v>114</v>
      </c>
      <c r="E10" s="60" t="s">
        <v>115</v>
      </c>
      <c r="F10" s="60" t="s">
        <v>118</v>
      </c>
      <c r="G10" s="61"/>
      <c r="H10" s="62" t="n">
        <v>33299</v>
      </c>
      <c r="I10" s="62" t="n">
        <v>30282</v>
      </c>
      <c r="J10" s="62" t="n">
        <v>35423</v>
      </c>
      <c r="K10" s="62" t="n">
        <v>33823</v>
      </c>
      <c r="L10" s="62" t="n">
        <v>34478</v>
      </c>
      <c r="M10" s="62" t="n">
        <v>35226</v>
      </c>
    </row>
    <row r="11" customFormat="false" ht="15.75" hidden="false" customHeight="false" outlineLevel="0" collapsed="false">
      <c r="B11" s="60" t="n">
        <v>1004</v>
      </c>
      <c r="C11" s="60" t="s">
        <v>120</v>
      </c>
      <c r="D11" s="60" t="s">
        <v>114</v>
      </c>
      <c r="E11" s="60" t="s">
        <v>115</v>
      </c>
      <c r="F11" s="60" t="s">
        <v>118</v>
      </c>
      <c r="G11" s="61"/>
      <c r="H11" s="62" t="n">
        <v>165945</v>
      </c>
      <c r="I11" s="62" t="n">
        <v>177023</v>
      </c>
      <c r="J11" s="62" t="n">
        <v>155595</v>
      </c>
      <c r="K11" s="62" t="n">
        <v>137224</v>
      </c>
      <c r="L11" s="62" t="n">
        <v>133098</v>
      </c>
      <c r="M11" s="62" t="n">
        <v>136766</v>
      </c>
    </row>
    <row r="12" customFormat="false" ht="15.75" hidden="false" customHeight="false" outlineLevel="0" collapsed="false">
      <c r="B12" s="60" t="n">
        <v>1005</v>
      </c>
      <c r="C12" s="60" t="s">
        <v>121</v>
      </c>
      <c r="D12" s="60" t="s">
        <v>114</v>
      </c>
      <c r="E12" s="60" t="s">
        <v>115</v>
      </c>
      <c r="F12" s="60" t="s">
        <v>118</v>
      </c>
      <c r="G12" s="61"/>
      <c r="H12" s="62" t="n">
        <v>2418.8126376</v>
      </c>
      <c r="I12" s="62" t="n">
        <v>3238.9718864</v>
      </c>
      <c r="J12" s="62" t="n">
        <v>3297.6038712</v>
      </c>
      <c r="K12" s="62" t="n">
        <v>2672.5750772</v>
      </c>
      <c r="L12" s="62" t="n">
        <v>2423.882784</v>
      </c>
      <c r="M12" s="62" t="n">
        <v>2120.034392</v>
      </c>
    </row>
    <row r="13" customFormat="false" ht="15.75" hidden="false" customHeight="false" outlineLevel="0" collapsed="false">
      <c r="B13" s="60" t="n">
        <v>1006</v>
      </c>
      <c r="C13" s="60" t="s">
        <v>122</v>
      </c>
      <c r="D13" s="60" t="s">
        <v>114</v>
      </c>
      <c r="E13" s="60" t="s">
        <v>115</v>
      </c>
      <c r="F13" s="60" t="s">
        <v>123</v>
      </c>
      <c r="G13" s="61"/>
      <c r="H13" s="63" t="n">
        <v>89</v>
      </c>
      <c r="I13" s="63" t="n">
        <v>107</v>
      </c>
      <c r="J13" s="63" t="n">
        <v>93</v>
      </c>
      <c r="K13" s="63" t="n">
        <v>82</v>
      </c>
      <c r="L13" s="63" t="n">
        <v>89</v>
      </c>
      <c r="M13" s="63" t="n">
        <v>89</v>
      </c>
    </row>
    <row r="14" customFormat="false" ht="15.75" hidden="false" customHeight="false" outlineLevel="0" collapsed="false">
      <c r="B14" s="60" t="n">
        <v>1007</v>
      </c>
      <c r="C14" s="60" t="s">
        <v>124</v>
      </c>
      <c r="D14" s="60" t="s">
        <v>114</v>
      </c>
      <c r="E14" s="60" t="s">
        <v>115</v>
      </c>
      <c r="F14" s="60" t="s">
        <v>123</v>
      </c>
      <c r="G14" s="61"/>
      <c r="H14" s="63" t="n">
        <v>117</v>
      </c>
      <c r="I14" s="63" t="n">
        <v>143</v>
      </c>
      <c r="J14" s="63" t="n">
        <v>126</v>
      </c>
      <c r="K14" s="63" t="n">
        <v>113</v>
      </c>
      <c r="L14" s="63" t="n">
        <v>107</v>
      </c>
      <c r="M14" s="63" t="n">
        <v>107</v>
      </c>
    </row>
    <row r="15" customFormat="false" ht="15.75" hidden="false" customHeight="false" outlineLevel="0" collapsed="false">
      <c r="B15" s="60" t="n">
        <v>1008</v>
      </c>
      <c r="C15" s="60" t="s">
        <v>125</v>
      </c>
      <c r="D15" s="60" t="s">
        <v>114</v>
      </c>
      <c r="E15" s="60" t="s">
        <v>115</v>
      </c>
      <c r="F15" s="60" t="s">
        <v>126</v>
      </c>
      <c r="G15" s="61"/>
      <c r="H15" s="62" t="n">
        <v>706</v>
      </c>
      <c r="I15" s="62" t="n">
        <v>668</v>
      </c>
      <c r="J15" s="62" t="n">
        <v>720</v>
      </c>
      <c r="K15" s="62" t="n">
        <v>687</v>
      </c>
      <c r="L15" s="62" t="n">
        <v>617</v>
      </c>
      <c r="M15" s="62" t="n">
        <v>569</v>
      </c>
    </row>
    <row r="16" customFormat="false" ht="15.75" hidden="false" customHeight="false" outlineLevel="0" collapsed="false">
      <c r="B16" s="60" t="n">
        <v>1009</v>
      </c>
      <c r="C16" s="60" t="s">
        <v>127</v>
      </c>
      <c r="D16" s="60" t="s">
        <v>114</v>
      </c>
      <c r="E16" s="60" t="s">
        <v>115</v>
      </c>
      <c r="F16" s="60" t="s">
        <v>128</v>
      </c>
      <c r="G16" s="61"/>
      <c r="H16" s="62"/>
      <c r="I16" s="62"/>
      <c r="J16" s="62"/>
      <c r="K16" s="62"/>
      <c r="L16" s="62"/>
      <c r="M16" s="62"/>
    </row>
    <row r="17" customFormat="false" ht="15.75" hidden="false" customHeight="false" outlineLevel="0" collapsed="false">
      <c r="B17" s="60" t="n">
        <v>1010</v>
      </c>
      <c r="C17" s="60" t="s">
        <v>129</v>
      </c>
      <c r="D17" s="60" t="s">
        <v>114</v>
      </c>
      <c r="E17" s="60" t="s">
        <v>115</v>
      </c>
      <c r="F17" s="60" t="s">
        <v>130</v>
      </c>
      <c r="G17" s="61"/>
      <c r="H17" s="63" t="n">
        <f aca="false">21+10.3</f>
        <v>31.3</v>
      </c>
      <c r="I17" s="63" t="n">
        <f aca="false">H17</f>
        <v>31.3</v>
      </c>
      <c r="J17" s="63" t="n">
        <f aca="false">I17</f>
        <v>31.3</v>
      </c>
      <c r="K17" s="63" t="n">
        <f aca="false">J17+50</f>
        <v>81.3</v>
      </c>
      <c r="L17" s="63" t="n">
        <f aca="false">K17+100+20</f>
        <v>201.3</v>
      </c>
      <c r="M17" s="63" t="n">
        <f aca="false">L17+135+95+90+88+50</f>
        <v>659.3</v>
      </c>
    </row>
    <row r="18" customFormat="false" ht="15.75" hidden="false" customHeight="false" outlineLevel="0" collapsed="false">
      <c r="B18" s="60" t="n">
        <v>1011</v>
      </c>
      <c r="C18" s="60" t="s">
        <v>131</v>
      </c>
      <c r="D18" s="60" t="s">
        <v>114</v>
      </c>
      <c r="E18" s="60" t="s">
        <v>132</v>
      </c>
      <c r="F18" s="60" t="s">
        <v>118</v>
      </c>
      <c r="G18" s="61"/>
      <c r="H18" s="62" t="n">
        <v>24863</v>
      </c>
      <c r="I18" s="62" t="n">
        <v>23806.6</v>
      </c>
      <c r="J18" s="62" t="n">
        <v>21655.4</v>
      </c>
      <c r="K18" s="62" t="n">
        <v>20635.13</v>
      </c>
      <c r="L18" s="62" t="n">
        <v>21304.2</v>
      </c>
      <c r="M18" s="62" t="n">
        <v>20888.5</v>
      </c>
    </row>
    <row r="19" customFormat="false" ht="15.75" hidden="false" customHeight="false" outlineLevel="0" collapsed="false">
      <c r="B19" s="60" t="n">
        <v>1012</v>
      </c>
      <c r="C19" s="60" t="s">
        <v>133</v>
      </c>
      <c r="D19" s="60" t="s">
        <v>114</v>
      </c>
      <c r="E19" s="60" t="s">
        <v>132</v>
      </c>
      <c r="F19" s="60" t="s">
        <v>134</v>
      </c>
      <c r="G19" s="61"/>
      <c r="H19" s="64" t="n">
        <v>0.497</v>
      </c>
      <c r="I19" s="64" t="n">
        <v>0.469919662067468</v>
      </c>
      <c r="J19" s="64" t="n">
        <v>0.426136408359243</v>
      </c>
      <c r="K19" s="64" t="n">
        <v>0.400884524225823</v>
      </c>
      <c r="L19" s="64" t="n">
        <v>0.402939173853836</v>
      </c>
      <c r="M19" s="64" t="n">
        <v>0.392228105753342</v>
      </c>
    </row>
    <row r="20" customFormat="false" ht="15.75" hidden="false" customHeight="false" outlineLevel="0" collapsed="false">
      <c r="B20" s="60" t="n">
        <v>1013</v>
      </c>
      <c r="C20" s="60" t="s">
        <v>135</v>
      </c>
      <c r="D20" s="60" t="s">
        <v>114</v>
      </c>
      <c r="E20" s="60" t="s">
        <v>132</v>
      </c>
      <c r="F20" s="60" t="s">
        <v>136</v>
      </c>
      <c r="G20" s="61"/>
      <c r="H20" s="65" t="n">
        <v>0.1111</v>
      </c>
      <c r="I20" s="65" t="n">
        <v>0.1665</v>
      </c>
      <c r="J20" s="65" t="n">
        <v>0.173</v>
      </c>
      <c r="K20" s="65" t="n">
        <v>0.2303</v>
      </c>
      <c r="L20" s="65" t="n">
        <v>0.2665</v>
      </c>
      <c r="M20" s="65" t="n">
        <v>0.2935</v>
      </c>
    </row>
    <row r="21" customFormat="false" ht="15.75" hidden="false" customHeight="false" outlineLevel="0" collapsed="false">
      <c r="B21" s="60" t="n">
        <v>1014</v>
      </c>
      <c r="C21" s="60" t="s">
        <v>137</v>
      </c>
      <c r="D21" s="60" t="s">
        <v>114</v>
      </c>
      <c r="E21" s="60" t="s">
        <v>79</v>
      </c>
      <c r="F21" s="60" t="s">
        <v>116</v>
      </c>
      <c r="G21" s="61"/>
      <c r="H21" s="62" t="n">
        <v>10</v>
      </c>
      <c r="I21" s="62" t="n">
        <v>43</v>
      </c>
      <c r="J21" s="62" t="n">
        <v>45</v>
      </c>
      <c r="K21" s="62" t="n">
        <v>59</v>
      </c>
      <c r="L21" s="62" t="n">
        <v>119</v>
      </c>
      <c r="M21" s="62" t="n">
        <v>173</v>
      </c>
    </row>
    <row r="22" customFormat="false" ht="15.75" hidden="false" customHeight="false" outlineLevel="0" collapsed="false">
      <c r="B22" s="60" t="n">
        <v>1015</v>
      </c>
      <c r="C22" s="60" t="s">
        <v>138</v>
      </c>
      <c r="D22" s="60" t="s">
        <v>114</v>
      </c>
      <c r="E22" s="60" t="s">
        <v>79</v>
      </c>
      <c r="F22" s="60" t="s">
        <v>136</v>
      </c>
      <c r="G22" s="61"/>
      <c r="H22" s="65" t="n">
        <f aca="false">H21/1444</f>
        <v>0.00692520775623269</v>
      </c>
      <c r="I22" s="65" t="n">
        <f aca="false">I21/1438</f>
        <v>0.0299026425591099</v>
      </c>
      <c r="J22" s="65" t="n">
        <f aca="false">J21/1431</f>
        <v>0.0314465408805031</v>
      </c>
      <c r="K22" s="65" t="n">
        <f aca="false">K21/1411</f>
        <v>0.0418143160878809</v>
      </c>
      <c r="L22" s="65" t="n">
        <f aca="false">L21/1523</f>
        <v>0.0781352593565332</v>
      </c>
      <c r="M22" s="65" t="n">
        <f aca="false">M21/1443</f>
        <v>0.11988911988912</v>
      </c>
    </row>
    <row r="23" customFormat="false" ht="15.75" hidden="false" customHeight="false" outlineLevel="0" collapsed="false">
      <c r="B23" s="60" t="n">
        <v>1016</v>
      </c>
      <c r="C23" s="60" t="s">
        <v>139</v>
      </c>
      <c r="D23" s="60" t="s">
        <v>114</v>
      </c>
      <c r="E23" s="60" t="s">
        <v>140</v>
      </c>
      <c r="F23" s="60" t="s">
        <v>141</v>
      </c>
      <c r="G23" s="61"/>
      <c r="H23" s="62" t="n">
        <v>3630</v>
      </c>
      <c r="I23" s="62" t="n">
        <v>3301</v>
      </c>
      <c r="J23" s="62" t="n">
        <v>3861</v>
      </c>
      <c r="K23" s="62" t="n">
        <v>3687</v>
      </c>
      <c r="L23" s="62" t="n">
        <v>3758</v>
      </c>
      <c r="M23" s="62" t="n">
        <v>3840</v>
      </c>
    </row>
    <row r="24" customFormat="false" ht="15.75" hidden="false" customHeight="false" outlineLevel="0" collapsed="false">
      <c r="B24" s="60" t="n">
        <v>1017</v>
      </c>
      <c r="C24" s="60" t="s">
        <v>142</v>
      </c>
      <c r="D24" s="60" t="s">
        <v>114</v>
      </c>
      <c r="E24" s="60" t="s">
        <v>140</v>
      </c>
      <c r="F24" s="60" t="s">
        <v>141</v>
      </c>
      <c r="G24" s="61"/>
      <c r="H24" s="62" t="n">
        <v>24062</v>
      </c>
      <c r="I24" s="62" t="n">
        <v>25314</v>
      </c>
      <c r="J24" s="62" t="n">
        <v>21646</v>
      </c>
      <c r="K24" s="62" t="n">
        <v>17839</v>
      </c>
      <c r="L24" s="62" t="n">
        <v>17369</v>
      </c>
      <c r="M24" s="62" t="n">
        <v>16426</v>
      </c>
    </row>
    <row r="25" customFormat="false" ht="15.75" hidden="false" customHeight="false" outlineLevel="0" collapsed="false">
      <c r="B25" s="60" t="n">
        <v>1018</v>
      </c>
      <c r="C25" s="60" t="s">
        <v>143</v>
      </c>
      <c r="D25" s="60" t="s">
        <v>114</v>
      </c>
      <c r="E25" s="60" t="s">
        <v>140</v>
      </c>
      <c r="F25" s="60" t="s">
        <v>141</v>
      </c>
      <c r="G25" s="61"/>
      <c r="H25" s="62" t="n">
        <v>2710</v>
      </c>
      <c r="I25" s="62" t="n">
        <v>2595</v>
      </c>
      <c r="J25" s="62" t="n">
        <v>2360</v>
      </c>
      <c r="K25" s="62" t="n">
        <v>2249</v>
      </c>
      <c r="L25" s="62" t="n">
        <v>2322</v>
      </c>
      <c r="M25" s="62" t="n">
        <v>2277</v>
      </c>
    </row>
    <row r="26" customFormat="false" ht="15.75" hidden="false" customHeight="false" outlineLevel="0" collapsed="false">
      <c r="B26" s="60" t="n">
        <v>1019</v>
      </c>
      <c r="C26" s="60" t="s">
        <v>144</v>
      </c>
      <c r="D26" s="60" t="s">
        <v>114</v>
      </c>
      <c r="E26" s="60" t="s">
        <v>140</v>
      </c>
      <c r="F26" s="60" t="s">
        <v>141</v>
      </c>
      <c r="G26" s="61"/>
      <c r="H26" s="62" t="n">
        <v>3840</v>
      </c>
      <c r="I26" s="62" t="n">
        <v>3846</v>
      </c>
      <c r="J26" s="62" t="n">
        <v>3851</v>
      </c>
      <c r="K26" s="62" t="n">
        <v>3802</v>
      </c>
      <c r="L26" s="62" t="n">
        <v>3744</v>
      </c>
      <c r="M26" s="62" t="n">
        <v>3812</v>
      </c>
    </row>
    <row r="27" customFormat="false" ht="15.75" hidden="false" customHeight="false" outlineLevel="0" collapsed="false">
      <c r="B27" s="60" t="n">
        <v>1020</v>
      </c>
      <c r="C27" s="60" t="s">
        <v>145</v>
      </c>
      <c r="D27" s="60" t="s">
        <v>114</v>
      </c>
      <c r="E27" s="60" t="s">
        <v>140</v>
      </c>
      <c r="F27" s="60" t="s">
        <v>141</v>
      </c>
      <c r="G27" s="61"/>
      <c r="H27" s="62" t="n">
        <v>3618</v>
      </c>
      <c r="I27" s="62" t="n">
        <v>4576.96552658933</v>
      </c>
      <c r="J27" s="62" t="n">
        <v>3817.50729216597</v>
      </c>
      <c r="K27" s="62" t="n">
        <v>1782.51744175054</v>
      </c>
      <c r="L27" s="62" t="n">
        <v>1345.95407601034</v>
      </c>
      <c r="M27" s="62" t="n">
        <v>1194.31122099822</v>
      </c>
    </row>
    <row r="28" customFormat="false" ht="15.75" hidden="false" customHeight="false" outlineLevel="0" collapsed="false">
      <c r="B28" s="60" t="n">
        <v>1021</v>
      </c>
      <c r="C28" s="60" t="s">
        <v>146</v>
      </c>
      <c r="D28" s="60" t="s">
        <v>114</v>
      </c>
      <c r="E28" s="60" t="s">
        <v>140</v>
      </c>
      <c r="F28" s="60" t="s">
        <v>141</v>
      </c>
      <c r="G28" s="61"/>
      <c r="H28" s="62" t="n">
        <f aca="false">SUM(H23:H27)</f>
        <v>37860</v>
      </c>
      <c r="I28" s="62" t="n">
        <f aca="false">SUM(I23:I27)</f>
        <v>39632.9655265893</v>
      </c>
      <c r="J28" s="62" t="n">
        <f aca="false">SUM(J23:J27)</f>
        <v>35535.507292166</v>
      </c>
      <c r="K28" s="62" t="n">
        <f aca="false">SUM(K23:K27)</f>
        <v>29359.5174417505</v>
      </c>
      <c r="L28" s="62" t="n">
        <f aca="false">SUM(L23:L27)</f>
        <v>28538.9540760103</v>
      </c>
      <c r="M28" s="62" t="n">
        <f aca="false">SUM(M23:M27)</f>
        <v>27549.3112209982</v>
      </c>
    </row>
    <row r="29" customFormat="false" ht="15.75" hidden="false" customHeight="false" outlineLevel="0" collapsed="false">
      <c r="B29" s="59"/>
      <c r="C29" s="59" t="s">
        <v>147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</row>
    <row r="30" customFormat="false" ht="18.75" hidden="false" customHeight="true" outlineLevel="0" collapsed="false">
      <c r="B30" s="60" t="n">
        <v>2001</v>
      </c>
      <c r="C30" s="66" t="s">
        <v>148</v>
      </c>
      <c r="D30" s="60" t="s">
        <v>51</v>
      </c>
      <c r="E30" s="60" t="s">
        <v>149</v>
      </c>
      <c r="F30" s="60" t="s">
        <v>118</v>
      </c>
      <c r="G30" s="61"/>
      <c r="H30" s="62" t="n">
        <v>2455669</v>
      </c>
      <c r="I30" s="62" t="n">
        <v>2387452</v>
      </c>
      <c r="J30" s="62" t="n">
        <v>2300619</v>
      </c>
      <c r="K30" s="62" t="n">
        <v>2243883</v>
      </c>
      <c r="L30" s="62" t="n">
        <v>2309989</v>
      </c>
      <c r="M30" s="62" t="n">
        <v>2245623</v>
      </c>
      <c r="O30" s="67"/>
    </row>
    <row r="31" customFormat="false" ht="15.75" hidden="false" customHeight="false" outlineLevel="0" collapsed="false">
      <c r="B31" s="60" t="n">
        <v>2002</v>
      </c>
      <c r="C31" s="60" t="s">
        <v>150</v>
      </c>
      <c r="D31" s="60" t="s">
        <v>51</v>
      </c>
      <c r="E31" s="60" t="s">
        <v>149</v>
      </c>
      <c r="F31" s="60" t="s">
        <v>123</v>
      </c>
      <c r="G31" s="61"/>
      <c r="H31" s="63" t="n">
        <v>147</v>
      </c>
      <c r="I31" s="63" t="n">
        <v>141.88</v>
      </c>
      <c r="J31" s="63" t="n">
        <v>119.14</v>
      </c>
      <c r="K31" s="63" t="n">
        <v>111.87</v>
      </c>
      <c r="L31" s="63" t="n">
        <v>114.15</v>
      </c>
      <c r="M31" s="63" t="n">
        <v>113.21</v>
      </c>
    </row>
    <row r="32" customFormat="false" ht="15.75" hidden="false" customHeight="false" outlineLevel="0" collapsed="false">
      <c r="B32" s="60" t="n">
        <v>2003</v>
      </c>
      <c r="C32" s="60" t="s">
        <v>151</v>
      </c>
      <c r="D32" s="60" t="s">
        <v>51</v>
      </c>
      <c r="E32" s="60" t="s">
        <v>149</v>
      </c>
      <c r="F32" s="60" t="s">
        <v>123</v>
      </c>
      <c r="G32" s="61"/>
      <c r="H32" s="63"/>
      <c r="I32" s="63" t="n">
        <v>83.83</v>
      </c>
      <c r="J32" s="63" t="n">
        <v>69.05</v>
      </c>
      <c r="K32" s="63" t="n">
        <v>64.72</v>
      </c>
      <c r="L32" s="63" t="n">
        <v>73.51</v>
      </c>
      <c r="M32" s="63" t="n">
        <v>62.83</v>
      </c>
    </row>
    <row r="33" customFormat="false" ht="15.75" hidden="false" customHeight="false" outlineLevel="0" collapsed="false">
      <c r="B33" s="60" t="n">
        <v>2004</v>
      </c>
      <c r="C33" s="60" t="s">
        <v>152</v>
      </c>
      <c r="D33" s="60" t="s">
        <v>51</v>
      </c>
      <c r="E33" s="60" t="s">
        <v>153</v>
      </c>
      <c r="F33" s="60" t="s">
        <v>154</v>
      </c>
      <c r="G33" s="61"/>
      <c r="H33" s="62" t="n">
        <v>68</v>
      </c>
      <c r="I33" s="62" t="n">
        <v>71</v>
      </c>
      <c r="J33" s="62" t="n">
        <v>76</v>
      </c>
      <c r="K33" s="62" t="n">
        <v>136</v>
      </c>
      <c r="L33" s="62" t="n">
        <v>146</v>
      </c>
      <c r="M33" s="62" t="n">
        <v>209</v>
      </c>
    </row>
    <row r="34" customFormat="false" ht="15.75" hidden="false" customHeight="false" outlineLevel="0" collapsed="false">
      <c r="B34" s="60" t="n">
        <v>2005</v>
      </c>
      <c r="C34" s="60" t="s">
        <v>155</v>
      </c>
      <c r="D34" s="60" t="s">
        <v>51</v>
      </c>
      <c r="E34" s="60" t="s">
        <v>153</v>
      </c>
      <c r="F34" s="60" t="s">
        <v>156</v>
      </c>
      <c r="G34" s="61"/>
      <c r="H34" s="62"/>
      <c r="I34" s="62"/>
      <c r="J34" s="62"/>
      <c r="K34" s="62"/>
      <c r="L34" s="62"/>
      <c r="M34" s="62" t="n">
        <v>44</v>
      </c>
      <c r="P34" s="6"/>
      <c r="Q34" s="6"/>
      <c r="R34" s="6"/>
      <c r="S34" s="6"/>
      <c r="T34" s="6"/>
      <c r="U34" s="6"/>
    </row>
    <row r="35" customFormat="false" ht="15.75" hidden="false" customHeight="false" outlineLevel="0" collapsed="false">
      <c r="B35" s="60" t="n">
        <v>2006</v>
      </c>
      <c r="C35" s="60" t="s">
        <v>157</v>
      </c>
      <c r="D35" s="60" t="s">
        <v>51</v>
      </c>
      <c r="E35" s="60" t="s">
        <v>153</v>
      </c>
      <c r="F35" s="60" t="s">
        <v>158</v>
      </c>
      <c r="G35" s="61"/>
      <c r="H35" s="62" t="n">
        <v>489</v>
      </c>
      <c r="I35" s="62" t="n">
        <v>307</v>
      </c>
      <c r="J35" s="62" t="n">
        <v>359</v>
      </c>
      <c r="K35" s="62" t="n">
        <v>241</v>
      </c>
      <c r="L35" s="62" t="n">
        <v>334</v>
      </c>
      <c r="M35" s="62" t="n">
        <v>222</v>
      </c>
      <c r="P35" s="68"/>
      <c r="Q35" s="68"/>
      <c r="R35" s="68"/>
      <c r="S35" s="68"/>
      <c r="T35" s="68"/>
      <c r="U35" s="68"/>
    </row>
    <row r="36" customFormat="false" ht="15.75" hidden="false" customHeight="false" outlineLevel="0" collapsed="false">
      <c r="B36" s="60" t="n">
        <v>2007</v>
      </c>
      <c r="C36" s="60" t="s">
        <v>159</v>
      </c>
      <c r="D36" s="60" t="s">
        <v>51</v>
      </c>
      <c r="E36" s="60" t="s">
        <v>140</v>
      </c>
      <c r="F36" s="60" t="s">
        <v>141</v>
      </c>
      <c r="G36" s="61"/>
      <c r="H36" s="62" t="n">
        <v>367435</v>
      </c>
      <c r="I36" s="62" t="n">
        <v>469332.4786012</v>
      </c>
      <c r="J36" s="62" t="n">
        <v>399714.11208</v>
      </c>
      <c r="K36" s="62" t="n">
        <v>358054.36</v>
      </c>
      <c r="L36" s="62" t="n">
        <v>364799.516</v>
      </c>
      <c r="M36" s="62" t="n">
        <v>344654.154</v>
      </c>
      <c r="P36" s="68"/>
      <c r="Q36" s="68"/>
      <c r="R36" s="68"/>
      <c r="S36" s="68"/>
      <c r="T36" s="68"/>
      <c r="U36" s="68"/>
    </row>
    <row r="37" customFormat="false" ht="15.75" hidden="false" customHeight="false" outlineLevel="0" collapsed="false">
      <c r="B37" s="60" t="n">
        <v>2008</v>
      </c>
      <c r="C37" s="60" t="s">
        <v>160</v>
      </c>
      <c r="D37" s="60" t="s">
        <v>51</v>
      </c>
      <c r="E37" s="60" t="s">
        <v>140</v>
      </c>
      <c r="F37" s="60" t="s">
        <v>141</v>
      </c>
      <c r="G37" s="61"/>
      <c r="H37" s="62" t="n">
        <v>55392</v>
      </c>
      <c r="I37" s="62" t="n">
        <v>57196</v>
      </c>
      <c r="J37" s="62" t="n">
        <v>53545</v>
      </c>
      <c r="K37" s="62" t="n">
        <v>51625</v>
      </c>
      <c r="L37" s="62" t="n">
        <v>52900</v>
      </c>
      <c r="M37" s="62" t="n">
        <v>54282</v>
      </c>
      <c r="P37" s="68"/>
      <c r="Q37" s="68"/>
      <c r="R37" s="68"/>
      <c r="S37" s="68"/>
      <c r="T37" s="68"/>
      <c r="U37" s="68"/>
    </row>
    <row r="38" customFormat="false" ht="15.75" hidden="false" customHeight="false" outlineLevel="0" collapsed="false">
      <c r="B38" s="59"/>
      <c r="C38" s="59" t="s">
        <v>161</v>
      </c>
      <c r="D38" s="59"/>
      <c r="E38" s="59"/>
      <c r="F38" s="59"/>
      <c r="G38" s="59"/>
      <c r="H38" s="59"/>
      <c r="I38" s="59"/>
      <c r="J38" s="59"/>
      <c r="K38" s="59"/>
      <c r="L38" s="59"/>
      <c r="M38" s="59"/>
    </row>
    <row r="39" customFormat="false" ht="15.75" hidden="false" customHeight="false" outlineLevel="0" collapsed="false">
      <c r="B39" s="60" t="n">
        <v>3001</v>
      </c>
      <c r="C39" s="60" t="s">
        <v>162</v>
      </c>
      <c r="D39" s="60" t="s">
        <v>163</v>
      </c>
      <c r="E39" s="60" t="s">
        <v>149</v>
      </c>
      <c r="F39" s="60" t="s">
        <v>164</v>
      </c>
      <c r="G39" s="61"/>
      <c r="H39" s="62" t="n">
        <v>2756</v>
      </c>
      <c r="I39" s="62" t="n">
        <v>3310.801</v>
      </c>
      <c r="J39" s="62" t="n">
        <v>2904.77613</v>
      </c>
      <c r="K39" s="62" t="n">
        <v>2763.35984</v>
      </c>
      <c r="L39" s="62" t="n">
        <v>2786.17</v>
      </c>
      <c r="M39" s="62" t="n">
        <v>2818.50487</v>
      </c>
      <c r="N39" s="69"/>
      <c r="O39" s="70"/>
    </row>
    <row r="40" customFormat="false" ht="15.75" hidden="false" customHeight="false" outlineLevel="0" collapsed="false">
      <c r="B40" s="60" t="n">
        <v>3002</v>
      </c>
      <c r="C40" s="60" t="s">
        <v>165</v>
      </c>
      <c r="D40" s="60" t="s">
        <v>163</v>
      </c>
      <c r="E40" s="60" t="s">
        <v>149</v>
      </c>
      <c r="F40" s="60" t="s">
        <v>136</v>
      </c>
      <c r="G40" s="61"/>
      <c r="H40" s="65" t="n">
        <v>0.315</v>
      </c>
      <c r="I40" s="65" t="n">
        <v>0.3338</v>
      </c>
      <c r="J40" s="65" t="n">
        <v>0.4059</v>
      </c>
      <c r="K40" s="65" t="n">
        <v>0.4133</v>
      </c>
      <c r="L40" s="65" t="n">
        <v>0.4174</v>
      </c>
      <c r="M40" s="65" t="n">
        <v>0.455</v>
      </c>
      <c r="N40" s="69"/>
      <c r="O40" s="70"/>
    </row>
    <row r="41" customFormat="false" ht="15.75" hidden="false" customHeight="false" outlineLevel="0" collapsed="false">
      <c r="B41" s="60" t="n">
        <v>3003</v>
      </c>
      <c r="C41" s="60" t="s">
        <v>166</v>
      </c>
      <c r="D41" s="60" t="s">
        <v>163</v>
      </c>
      <c r="E41" s="60" t="s">
        <v>149</v>
      </c>
      <c r="F41" s="60" t="s">
        <v>136</v>
      </c>
      <c r="G41" s="61"/>
      <c r="H41" s="65"/>
      <c r="I41" s="65"/>
      <c r="J41" s="65"/>
      <c r="K41" s="65"/>
      <c r="L41" s="65"/>
      <c r="M41" s="65" t="n">
        <v>0.0977</v>
      </c>
      <c r="N41" s="69"/>
      <c r="O41" s="70"/>
    </row>
    <row r="42" customFormat="false" ht="15.75" hidden="false" customHeight="false" outlineLevel="0" collapsed="false">
      <c r="B42" s="60" t="n">
        <v>3004</v>
      </c>
      <c r="C42" s="60" t="s">
        <v>167</v>
      </c>
      <c r="D42" s="60" t="s">
        <v>163</v>
      </c>
      <c r="E42" s="60" t="s">
        <v>168</v>
      </c>
      <c r="F42" s="60" t="s">
        <v>164</v>
      </c>
      <c r="G42" s="61"/>
      <c r="H42" s="63" t="n">
        <v>294.7</v>
      </c>
      <c r="I42" s="63" t="n">
        <v>518.7</v>
      </c>
      <c r="J42" s="63" t="n">
        <v>438.352</v>
      </c>
      <c r="K42" s="63" t="n">
        <v>424.4</v>
      </c>
      <c r="L42" s="63" t="n">
        <v>420</v>
      </c>
      <c r="M42" s="63" t="n">
        <v>415.877</v>
      </c>
      <c r="N42" s="69"/>
      <c r="O42" s="70"/>
    </row>
    <row r="43" customFormat="false" ht="15.75" hidden="false" customHeight="false" outlineLevel="0" collapsed="false">
      <c r="B43" s="60" t="n">
        <v>3005</v>
      </c>
      <c r="C43" s="60" t="s">
        <v>169</v>
      </c>
      <c r="D43" s="60" t="s">
        <v>163</v>
      </c>
      <c r="E43" s="60" t="s">
        <v>168</v>
      </c>
      <c r="F43" s="60" t="s">
        <v>164</v>
      </c>
      <c r="G43" s="61"/>
      <c r="H43" s="63" t="n">
        <v>3167</v>
      </c>
      <c r="I43" s="63" t="n">
        <v>3096</v>
      </c>
      <c r="J43" s="63" t="n">
        <v>2077</v>
      </c>
      <c r="K43" s="63" t="n">
        <v>2195</v>
      </c>
      <c r="L43" s="63" t="n">
        <v>2429</v>
      </c>
      <c r="M43" s="63" t="n">
        <v>2101</v>
      </c>
      <c r="N43" s="69"/>
      <c r="O43" s="70"/>
    </row>
    <row r="44" customFormat="false" ht="15.75" hidden="false" customHeight="false" outlineLevel="0" collapsed="false">
      <c r="B44" s="60" t="n">
        <v>3006</v>
      </c>
      <c r="C44" s="60" t="s">
        <v>170</v>
      </c>
      <c r="D44" s="60" t="s">
        <v>163</v>
      </c>
      <c r="E44" s="60" t="s">
        <v>171</v>
      </c>
      <c r="F44" s="60" t="s">
        <v>164</v>
      </c>
      <c r="G44" s="61"/>
      <c r="H44" s="63" t="n">
        <v>3461</v>
      </c>
      <c r="I44" s="63" t="n">
        <v>3614</v>
      </c>
      <c r="J44" s="63" t="n">
        <v>2515</v>
      </c>
      <c r="K44" s="63" t="n">
        <v>2619</v>
      </c>
      <c r="L44" s="63" t="n">
        <v>2849</v>
      </c>
      <c r="M44" s="63" t="n">
        <v>2516.877</v>
      </c>
      <c r="N44" s="69"/>
      <c r="O44" s="70"/>
    </row>
    <row r="45" customFormat="false" ht="15.75" hidden="false" customHeight="false" outlineLevel="0" collapsed="false">
      <c r="B45" s="60" t="n">
        <v>3007</v>
      </c>
      <c r="C45" s="60" t="s">
        <v>172</v>
      </c>
      <c r="D45" s="60" t="s">
        <v>163</v>
      </c>
      <c r="E45" s="60" t="s">
        <v>168</v>
      </c>
      <c r="F45" s="60" t="s">
        <v>136</v>
      </c>
      <c r="G45" s="61"/>
      <c r="H45" s="65" t="n">
        <v>0.4987</v>
      </c>
      <c r="I45" s="65" t="n">
        <v>0.4594</v>
      </c>
      <c r="J45" s="65" t="n">
        <v>0.4632</v>
      </c>
      <c r="K45" s="65" t="n">
        <v>0.4458</v>
      </c>
      <c r="L45" s="65" t="n">
        <v>0.461</v>
      </c>
      <c r="M45" s="65" t="n">
        <v>0.4272</v>
      </c>
      <c r="N45" s="69"/>
      <c r="O45" s="70"/>
    </row>
    <row r="46" customFormat="false" ht="15.75" hidden="false" customHeight="false" outlineLevel="0" collapsed="false">
      <c r="B46" s="60" t="n">
        <v>3008</v>
      </c>
      <c r="C46" s="60" t="s">
        <v>173</v>
      </c>
      <c r="D46" s="60" t="s">
        <v>163</v>
      </c>
      <c r="E46" s="60" t="s">
        <v>168</v>
      </c>
      <c r="F46" s="60" t="s">
        <v>136</v>
      </c>
      <c r="G46" s="61"/>
      <c r="H46" s="65" t="n">
        <v>0.4182</v>
      </c>
      <c r="I46" s="65" t="n">
        <v>0.3463</v>
      </c>
      <c r="J46" s="65" t="n">
        <v>0.426</v>
      </c>
      <c r="K46" s="65" t="n">
        <v>0.3418</v>
      </c>
      <c r="L46" s="65" t="n">
        <v>0.384</v>
      </c>
      <c r="M46" s="65" t="n">
        <v>0.3423</v>
      </c>
      <c r="N46" s="69"/>
      <c r="O46" s="70"/>
    </row>
    <row r="47" customFormat="false" ht="15.75" hidden="false" customHeight="false" outlineLevel="0" collapsed="false">
      <c r="B47" s="60" t="n">
        <v>3009</v>
      </c>
      <c r="C47" s="60" t="s">
        <v>174</v>
      </c>
      <c r="D47" s="60" t="s">
        <v>163</v>
      </c>
      <c r="E47" s="60" t="s">
        <v>175</v>
      </c>
      <c r="F47" s="60" t="s">
        <v>164</v>
      </c>
      <c r="G47" s="61"/>
      <c r="H47" s="63" t="n">
        <v>1960.311</v>
      </c>
      <c r="I47" s="63" t="n">
        <v>1956.8614</v>
      </c>
      <c r="J47" s="63" t="n">
        <v>1921.0319</v>
      </c>
      <c r="K47" s="63" t="n">
        <v>1840.38763</v>
      </c>
      <c r="L47" s="63" t="n">
        <v>1937.0865</v>
      </c>
      <c r="M47" s="63" t="n">
        <v>1970.4334</v>
      </c>
      <c r="N47" s="69"/>
      <c r="O47" s="70"/>
    </row>
    <row r="48" customFormat="false" ht="15.75" hidden="false" customHeight="false" outlineLevel="0" collapsed="false">
      <c r="B48" s="60" t="n">
        <v>3010</v>
      </c>
      <c r="C48" s="60" t="s">
        <v>176</v>
      </c>
      <c r="D48" s="60" t="s">
        <v>163</v>
      </c>
      <c r="E48" s="60" t="s">
        <v>175</v>
      </c>
      <c r="F48" s="60" t="s">
        <v>136</v>
      </c>
      <c r="G48" s="61"/>
      <c r="H48" s="65" t="n">
        <v>0.031</v>
      </c>
      <c r="I48" s="65" t="n">
        <v>0.03</v>
      </c>
      <c r="J48" s="65" t="n">
        <v>0.052</v>
      </c>
      <c r="K48" s="65" t="n">
        <v>0.05</v>
      </c>
      <c r="L48" s="65" t="n">
        <v>0.05</v>
      </c>
      <c r="M48" s="65" t="n">
        <v>0.067</v>
      </c>
      <c r="N48" s="69"/>
      <c r="O48" s="70"/>
    </row>
    <row r="49" customFormat="false" ht="15.75" hidden="false" customHeight="false" outlineLevel="0" collapsed="false">
      <c r="B49" s="60" t="n">
        <v>3011</v>
      </c>
      <c r="C49" s="60" t="s">
        <v>177</v>
      </c>
      <c r="D49" s="60" t="s">
        <v>163</v>
      </c>
      <c r="E49" s="60" t="s">
        <v>175</v>
      </c>
      <c r="F49" s="60" t="s">
        <v>164</v>
      </c>
      <c r="G49" s="61"/>
      <c r="H49" s="63" t="n">
        <v>0.633</v>
      </c>
      <c r="I49" s="63" t="n">
        <v>1.094</v>
      </c>
      <c r="J49" s="63" t="n">
        <v>4.249</v>
      </c>
      <c r="K49" s="63" t="n">
        <v>19.703</v>
      </c>
      <c r="L49" s="63" t="n">
        <v>44.226</v>
      </c>
      <c r="M49" s="63" t="n">
        <v>70.573</v>
      </c>
      <c r="N49" s="69"/>
      <c r="O49" s="70"/>
    </row>
    <row r="50" customFormat="false" ht="15.75" hidden="false" customHeight="false" outlineLevel="0" collapsed="false">
      <c r="B50" s="60" t="n">
        <v>3012</v>
      </c>
      <c r="C50" s="60" t="s">
        <v>178</v>
      </c>
      <c r="D50" s="60" t="s">
        <v>163</v>
      </c>
      <c r="E50" s="60" t="s">
        <v>179</v>
      </c>
      <c r="F50" s="60" t="s">
        <v>116</v>
      </c>
      <c r="G50" s="61"/>
      <c r="H50" s="62" t="n">
        <v>0</v>
      </c>
      <c r="I50" s="62" t="n">
        <v>0</v>
      </c>
      <c r="J50" s="62" t="n">
        <v>0</v>
      </c>
      <c r="K50" s="62" t="n">
        <v>0</v>
      </c>
      <c r="L50" s="62" t="n">
        <v>0</v>
      </c>
      <c r="M50" s="62" t="n">
        <v>1</v>
      </c>
      <c r="N50" s="69"/>
      <c r="O50" s="70"/>
    </row>
    <row r="51" customFormat="false" ht="15.75" hidden="false" customHeight="false" outlineLevel="0" collapsed="false">
      <c r="B51" s="60" t="n">
        <v>3013</v>
      </c>
      <c r="C51" s="60" t="s">
        <v>180</v>
      </c>
      <c r="D51" s="60" t="s">
        <v>163</v>
      </c>
      <c r="E51" s="60" t="s">
        <v>140</v>
      </c>
      <c r="F51" s="60" t="s">
        <v>141</v>
      </c>
      <c r="G51" s="61"/>
      <c r="H51" s="62" t="n">
        <v>399620</v>
      </c>
      <c r="I51" s="62" t="n">
        <v>473444.543</v>
      </c>
      <c r="J51" s="62" t="n">
        <v>404112.4552056</v>
      </c>
      <c r="K51" s="62" t="n">
        <v>359236.7792</v>
      </c>
      <c r="L51" s="62" t="n">
        <v>363595.185</v>
      </c>
      <c r="M51" s="62" t="n">
        <v>338502.434887</v>
      </c>
      <c r="N51" s="69"/>
      <c r="O51" s="70"/>
    </row>
    <row r="52" customFormat="false" ht="15.75" hidden="false" customHeight="false" outlineLevel="0" collapsed="false">
      <c r="B52" s="60" t="n">
        <v>3014</v>
      </c>
      <c r="C52" s="60" t="s">
        <v>181</v>
      </c>
      <c r="D52" s="60" t="s">
        <v>163</v>
      </c>
      <c r="E52" s="60" t="s">
        <v>140</v>
      </c>
      <c r="F52" s="60" t="s">
        <v>141</v>
      </c>
      <c r="G52" s="61"/>
      <c r="H52" s="62" t="n">
        <v>213674</v>
      </c>
      <c r="I52" s="62" t="n">
        <v>213298</v>
      </c>
      <c r="J52" s="62" t="n">
        <v>209391</v>
      </c>
      <c r="K52" s="62" t="n">
        <v>200602</v>
      </c>
      <c r="L52" s="62" t="n">
        <v>211141</v>
      </c>
      <c r="M52" s="62" t="n">
        <v>214777</v>
      </c>
      <c r="N52" s="69"/>
      <c r="O52" s="70"/>
    </row>
    <row r="53" customFormat="false" ht="15.75" hidden="false" customHeight="false" outlineLevel="0" collapsed="false">
      <c r="B53" s="60" t="n">
        <v>3015</v>
      </c>
      <c r="C53" s="60" t="s">
        <v>182</v>
      </c>
      <c r="D53" s="60" t="s">
        <v>163</v>
      </c>
      <c r="E53" s="60" t="s">
        <v>140</v>
      </c>
      <c r="F53" s="60" t="s">
        <v>141</v>
      </c>
      <c r="G53" s="61"/>
      <c r="H53" s="62" t="n">
        <v>297817</v>
      </c>
      <c r="I53" s="62" t="n">
        <v>355019</v>
      </c>
      <c r="J53" s="62" t="n">
        <v>282637.073170263</v>
      </c>
      <c r="K53" s="62" t="n">
        <v>288432.348062494</v>
      </c>
      <c r="L53" s="62" t="n">
        <v>278340.404594977</v>
      </c>
      <c r="M53" s="62" t="n">
        <v>262975.407175272</v>
      </c>
      <c r="N53" s="69"/>
      <c r="O53" s="70"/>
    </row>
    <row r="54" customFormat="false" ht="15.75" hidden="false" customHeight="false" outlineLevel="0" collapsed="false">
      <c r="B54" s="60" t="n">
        <v>3016</v>
      </c>
      <c r="C54" s="60" t="s">
        <v>183</v>
      </c>
      <c r="D54" s="60" t="s">
        <v>163</v>
      </c>
      <c r="E54" s="60" t="s">
        <v>140</v>
      </c>
      <c r="F54" s="60" t="s">
        <v>141</v>
      </c>
      <c r="G54" s="61"/>
      <c r="H54" s="62" t="n">
        <v>305940</v>
      </c>
      <c r="I54" s="62" t="n">
        <v>333818</v>
      </c>
      <c r="J54" s="62" t="n">
        <v>265389</v>
      </c>
      <c r="K54" s="62" t="n">
        <v>271775.77</v>
      </c>
      <c r="L54" s="62" t="n">
        <v>259767</v>
      </c>
      <c r="M54" s="62" t="n">
        <v>240398</v>
      </c>
      <c r="N54" s="69"/>
      <c r="O54" s="70"/>
    </row>
    <row r="55" customFormat="false" ht="15.75" hidden="false" customHeight="true" outlineLevel="0" collapsed="false">
      <c r="B55" s="60" t="n">
        <v>3017</v>
      </c>
      <c r="C55" s="71" t="s">
        <v>184</v>
      </c>
      <c r="D55" s="60" t="s">
        <v>163</v>
      </c>
      <c r="E55" s="60" t="s">
        <v>140</v>
      </c>
      <c r="F55" s="60" t="s">
        <v>141</v>
      </c>
      <c r="G55" s="61"/>
      <c r="H55" s="62" t="n">
        <v>148102</v>
      </c>
      <c r="I55" s="62" t="n">
        <v>146360</v>
      </c>
      <c r="J55" s="62" t="n">
        <v>145774</v>
      </c>
      <c r="K55" s="62" t="n">
        <v>139239</v>
      </c>
      <c r="L55" s="62" t="n">
        <v>148417</v>
      </c>
      <c r="M55" s="62" t="n">
        <v>150566</v>
      </c>
      <c r="N55" s="69"/>
      <c r="O55" s="70"/>
    </row>
    <row r="56" customFormat="false" ht="15.75" hidden="false" customHeight="false" outlineLevel="0" collapsed="false">
      <c r="B56" s="59"/>
      <c r="C56" s="59" t="s">
        <v>185</v>
      </c>
      <c r="D56" s="59"/>
      <c r="E56" s="59"/>
      <c r="F56" s="59"/>
      <c r="G56" s="59"/>
      <c r="H56" s="72"/>
      <c r="I56" s="72"/>
      <c r="J56" s="72"/>
      <c r="K56" s="72"/>
      <c r="L56" s="72"/>
      <c r="M56" s="72"/>
      <c r="N56" s="69"/>
      <c r="O56" s="70"/>
    </row>
    <row r="57" customFormat="false" ht="15.75" hidden="false" customHeight="false" outlineLevel="0" collapsed="false">
      <c r="B57" s="60" t="n">
        <v>4001</v>
      </c>
      <c r="C57" s="60" t="s">
        <v>186</v>
      </c>
      <c r="D57" s="60" t="s">
        <v>79</v>
      </c>
      <c r="E57" s="60" t="s">
        <v>187</v>
      </c>
      <c r="F57" s="60" t="s">
        <v>116</v>
      </c>
      <c r="G57" s="61"/>
      <c r="H57" s="62" t="n">
        <v>283627</v>
      </c>
      <c r="I57" s="62" t="n">
        <v>288527.887431673</v>
      </c>
      <c r="J57" s="62" t="n">
        <v>290614.7807104</v>
      </c>
      <c r="K57" s="62" t="n">
        <v>294573</v>
      </c>
      <c r="L57" s="62" t="n">
        <v>296078</v>
      </c>
      <c r="M57" s="62" t="n">
        <v>300917</v>
      </c>
      <c r="N57" s="69"/>
      <c r="O57" s="70"/>
    </row>
    <row r="58" customFormat="false" ht="15.75" hidden="false" customHeight="false" outlineLevel="0" collapsed="false">
      <c r="B58" s="60" t="n">
        <v>4002</v>
      </c>
      <c r="C58" s="60" t="s">
        <v>188</v>
      </c>
      <c r="D58" s="60" t="s">
        <v>79</v>
      </c>
      <c r="E58" s="60" t="s">
        <v>187</v>
      </c>
      <c r="F58" s="60" t="s">
        <v>116</v>
      </c>
      <c r="G58" s="61"/>
      <c r="H58" s="62" t="n">
        <v>1122</v>
      </c>
      <c r="I58" s="62" t="n">
        <v>1799</v>
      </c>
      <c r="J58" s="62" t="n">
        <v>2721</v>
      </c>
      <c r="K58" s="62" t="n">
        <v>3779</v>
      </c>
      <c r="L58" s="62" t="n">
        <v>5129</v>
      </c>
      <c r="M58" s="62" t="n">
        <v>7138</v>
      </c>
      <c r="N58" s="69"/>
      <c r="O58" s="70"/>
    </row>
    <row r="59" customFormat="false" ht="15.75" hidden="false" customHeight="false" outlineLevel="0" collapsed="false">
      <c r="B59" s="60" t="n">
        <v>4003</v>
      </c>
      <c r="C59" s="60" t="s">
        <v>189</v>
      </c>
      <c r="D59" s="60" t="s">
        <v>79</v>
      </c>
      <c r="E59" s="60" t="s">
        <v>187</v>
      </c>
      <c r="F59" s="60" t="s">
        <v>116</v>
      </c>
      <c r="G59" s="61"/>
      <c r="H59" s="62"/>
      <c r="I59" s="62"/>
      <c r="J59" s="62"/>
      <c r="K59" s="62"/>
      <c r="L59" s="62"/>
      <c r="M59" s="62" t="n">
        <v>537</v>
      </c>
      <c r="N59" s="69"/>
      <c r="O59" s="70"/>
    </row>
    <row r="60" customFormat="false" ht="15.75" hidden="false" customHeight="false" outlineLevel="0" collapsed="false">
      <c r="B60" s="60" t="n">
        <v>4004</v>
      </c>
      <c r="C60" s="60" t="s">
        <v>190</v>
      </c>
      <c r="D60" s="60" t="s">
        <v>79</v>
      </c>
      <c r="E60" s="60" t="s">
        <v>187</v>
      </c>
      <c r="F60" s="60" t="s">
        <v>191</v>
      </c>
      <c r="G60" s="61"/>
      <c r="H60" s="63" t="n">
        <f aca="false">(84289.71+13273.59)/1000</f>
        <v>97.5633</v>
      </c>
      <c r="I60" s="63" t="n">
        <f aca="false">H60+27802.99/1000</f>
        <v>125.36629</v>
      </c>
      <c r="J60" s="63" t="n">
        <f aca="false">I60+8264.12/1000</f>
        <v>133.63041</v>
      </c>
      <c r="K60" s="63" t="n">
        <f aca="false">J60+16875.83/1000</f>
        <v>150.50624</v>
      </c>
      <c r="L60" s="63" t="n">
        <f aca="false">K60+10372/1000</f>
        <v>160.87824</v>
      </c>
      <c r="M60" s="63" t="n">
        <f aca="false">L60+4143/1000</f>
        <v>165.02124</v>
      </c>
      <c r="N60" s="69"/>
      <c r="O60" s="70"/>
    </row>
    <row r="61" customFormat="false" ht="15.75" hidden="false" customHeight="false" outlineLevel="0" collapsed="false">
      <c r="B61" s="60" t="n">
        <v>4005</v>
      </c>
      <c r="C61" s="60" t="s">
        <v>192</v>
      </c>
      <c r="D61" s="60" t="s">
        <v>79</v>
      </c>
      <c r="E61" s="60" t="s">
        <v>193</v>
      </c>
      <c r="F61" s="60" t="s">
        <v>194</v>
      </c>
      <c r="G61" s="61"/>
      <c r="H61" s="63" t="n">
        <v>89.7</v>
      </c>
      <c r="I61" s="63" t="n">
        <v>74.3</v>
      </c>
      <c r="J61" s="63" t="n">
        <v>93.3</v>
      </c>
      <c r="K61" s="63" t="n">
        <v>114.7</v>
      </c>
      <c r="L61" s="63" t="n">
        <v>115.970079</v>
      </c>
      <c r="M61" s="63" t="n">
        <v>118.491909</v>
      </c>
      <c r="N61" s="69"/>
      <c r="O61" s="70"/>
    </row>
    <row r="62" customFormat="false" ht="15.75" hidden="false" customHeight="false" outlineLevel="0" collapsed="false">
      <c r="B62" s="60" t="n">
        <v>4006</v>
      </c>
      <c r="C62" s="60" t="s">
        <v>195</v>
      </c>
      <c r="D62" s="60" t="s">
        <v>79</v>
      </c>
      <c r="E62" s="60" t="s">
        <v>193</v>
      </c>
      <c r="F62" s="60" t="s">
        <v>196</v>
      </c>
      <c r="G62" s="61"/>
      <c r="H62" s="62" t="n">
        <v>37869.79</v>
      </c>
      <c r="I62" s="62" t="n">
        <v>34486</v>
      </c>
      <c r="J62" s="62" t="n">
        <v>33260</v>
      </c>
      <c r="K62" s="62" t="n">
        <v>34682.333</v>
      </c>
      <c r="L62" s="62" t="n">
        <v>35531.174</v>
      </c>
      <c r="M62" s="62" t="n">
        <v>35013.532857</v>
      </c>
      <c r="N62" s="69"/>
      <c r="O62" s="70"/>
    </row>
    <row r="63" customFormat="false" ht="15.75" hidden="false" customHeight="false" outlineLevel="0" collapsed="false">
      <c r="B63" s="60" t="n">
        <v>4007</v>
      </c>
      <c r="C63" s="60" t="s">
        <v>197</v>
      </c>
      <c r="D63" s="60" t="s">
        <v>79</v>
      </c>
      <c r="E63" s="60" t="s">
        <v>193</v>
      </c>
      <c r="F63" s="60" t="s">
        <v>136</v>
      </c>
      <c r="G63" s="61"/>
      <c r="H63" s="65" t="n">
        <v>0.16</v>
      </c>
      <c r="I63" s="65"/>
      <c r="J63" s="65"/>
      <c r="K63" s="65" t="n">
        <v>0.328049475969</v>
      </c>
      <c r="L63" s="65" t="n">
        <v>0.342859814242</v>
      </c>
      <c r="M63" s="65" t="n">
        <v>0.354465468845</v>
      </c>
      <c r="N63" s="69"/>
      <c r="O63" s="70"/>
    </row>
    <row r="64" customFormat="false" ht="15.75" hidden="false" customHeight="false" outlineLevel="0" collapsed="false">
      <c r="B64" s="60" t="n">
        <v>4008</v>
      </c>
      <c r="C64" s="60" t="s">
        <v>198</v>
      </c>
      <c r="D64" s="60" t="s">
        <v>79</v>
      </c>
      <c r="E64" s="60" t="s">
        <v>140</v>
      </c>
      <c r="F64" s="60" t="s">
        <v>141</v>
      </c>
      <c r="G64" s="61"/>
      <c r="H64" s="62" t="n">
        <v>674997</v>
      </c>
      <c r="I64" s="62" t="n">
        <v>673869</v>
      </c>
      <c r="J64" s="62" t="n">
        <v>675278</v>
      </c>
      <c r="K64" s="62" t="n">
        <v>714604</v>
      </c>
      <c r="L64" s="62" t="n">
        <v>713848</v>
      </c>
      <c r="M64" s="62" t="n">
        <v>720112.228527967</v>
      </c>
      <c r="N64" s="69"/>
      <c r="O64" s="70"/>
    </row>
    <row r="65" customFormat="false" ht="15.75" hidden="false" customHeight="false" outlineLevel="0" collapsed="false">
      <c r="B65" s="60" t="n">
        <v>4009</v>
      </c>
      <c r="C65" s="60" t="s">
        <v>199</v>
      </c>
      <c r="D65" s="60" t="s">
        <v>79</v>
      </c>
      <c r="E65" s="60" t="s">
        <v>140</v>
      </c>
      <c r="F65" s="60" t="s">
        <v>141</v>
      </c>
      <c r="G65" s="61"/>
      <c r="H65" s="62" t="n">
        <v>35364</v>
      </c>
      <c r="I65" s="62" t="n">
        <v>37156.3546850412</v>
      </c>
      <c r="J65" s="62" t="n">
        <v>36214.6819644567</v>
      </c>
      <c r="K65" s="62" t="n">
        <v>37181.6078393702</v>
      </c>
      <c r="L65" s="62" t="n">
        <v>35952.2447574307</v>
      </c>
      <c r="M65" s="62" t="n">
        <v>34088.5996829366</v>
      </c>
      <c r="N65" s="69"/>
      <c r="O65" s="70"/>
    </row>
    <row r="66" customFormat="false" ht="15.75" hidden="false" customHeight="false" outlineLevel="0" collapsed="false">
      <c r="B66" s="60" t="n">
        <v>4010</v>
      </c>
      <c r="C66" s="60" t="s">
        <v>200</v>
      </c>
      <c r="D66" s="60" t="s">
        <v>79</v>
      </c>
      <c r="E66" s="60" t="s">
        <v>140</v>
      </c>
      <c r="F66" s="60" t="s">
        <v>141</v>
      </c>
      <c r="G66" s="61"/>
      <c r="H66" s="62" t="n">
        <v>3701</v>
      </c>
      <c r="I66" s="62" t="n">
        <v>4290</v>
      </c>
      <c r="J66" s="62" t="n">
        <v>4397</v>
      </c>
      <c r="K66" s="62" t="n">
        <v>2285</v>
      </c>
      <c r="L66" s="62" t="n">
        <v>2408</v>
      </c>
      <c r="M66" s="62" t="n">
        <v>2347.52614474612</v>
      </c>
      <c r="N66" s="69"/>
      <c r="O66" s="70"/>
    </row>
    <row r="67" customFormat="false" ht="15.75" hidden="false" customHeight="false" outlineLevel="0" collapsed="false">
      <c r="B67" s="60" t="n">
        <v>4011</v>
      </c>
      <c r="C67" s="60" t="s">
        <v>201</v>
      </c>
      <c r="D67" s="60" t="s">
        <v>79</v>
      </c>
      <c r="E67" s="60" t="s">
        <v>140</v>
      </c>
      <c r="F67" s="60" t="s">
        <v>141</v>
      </c>
      <c r="G67" s="61"/>
      <c r="H67" s="62" t="n">
        <v>717680</v>
      </c>
      <c r="I67" s="62" t="n">
        <v>719892</v>
      </c>
      <c r="J67" s="62" t="n">
        <v>719707</v>
      </c>
      <c r="K67" s="62" t="n">
        <v>755854</v>
      </c>
      <c r="L67" s="62" t="n">
        <v>753553</v>
      </c>
      <c r="M67" s="62" t="n">
        <v>757743</v>
      </c>
      <c r="N67" s="69"/>
      <c r="O67" s="70"/>
    </row>
    <row r="68" customFormat="false" ht="15.75" hidden="false" customHeight="false" outlineLevel="0" collapsed="false">
      <c r="B68" s="59"/>
      <c r="C68" s="59" t="s">
        <v>202</v>
      </c>
      <c r="D68" s="59"/>
      <c r="E68" s="59"/>
      <c r="F68" s="59"/>
      <c r="G68" s="59"/>
      <c r="H68" s="59"/>
      <c r="I68" s="59"/>
      <c r="J68" s="59"/>
      <c r="K68" s="59"/>
      <c r="L68" s="59"/>
      <c r="M68" s="59"/>
    </row>
    <row r="69" customFormat="false" ht="15.75" hidden="false" customHeight="false" outlineLevel="0" collapsed="false">
      <c r="B69" s="60" t="n">
        <v>5001</v>
      </c>
      <c r="C69" s="60" t="s">
        <v>203</v>
      </c>
      <c r="D69" s="60" t="s">
        <v>204</v>
      </c>
      <c r="E69" s="60" t="s">
        <v>140</v>
      </c>
      <c r="F69" s="60" t="s">
        <v>141</v>
      </c>
      <c r="G69" s="61" t="s">
        <v>205</v>
      </c>
      <c r="H69" s="73" t="n">
        <f aca="false">H51+H52+H53+H67</f>
        <v>1628791</v>
      </c>
      <c r="I69" s="73" t="n">
        <f aca="false">I51+I52+I53+I67</f>
        <v>1761653.543</v>
      </c>
      <c r="J69" s="73" t="n">
        <f aca="false">J51+J52+J53+J67</f>
        <v>1615847.52837586</v>
      </c>
      <c r="K69" s="73" t="n">
        <f aca="false">K51+K52+K53+K67</f>
        <v>1604125.12726249</v>
      </c>
      <c r="L69" s="73" t="n">
        <f aca="false">L51+L52+L53+L67</f>
        <v>1606629.58959498</v>
      </c>
      <c r="M69" s="73" t="n">
        <f aca="false">M51+M52+M53+M67</f>
        <v>1573997.84206227</v>
      </c>
    </row>
    <row r="70" customFormat="false" ht="15.75" hidden="false" customHeight="false" outlineLevel="0" collapsed="false">
      <c r="B70" s="60" t="n">
        <v>5002</v>
      </c>
      <c r="C70" s="60" t="s">
        <v>206</v>
      </c>
      <c r="D70" s="60" t="s">
        <v>204</v>
      </c>
      <c r="E70" s="60" t="s">
        <v>140</v>
      </c>
      <c r="F70" s="60" t="s">
        <v>136</v>
      </c>
      <c r="G70" s="61" t="n">
        <v>4291</v>
      </c>
      <c r="H70" s="74" t="n">
        <f aca="false">H$69/1000/$G70-1</f>
        <v>-0.620416919133069</v>
      </c>
      <c r="I70" s="74" t="n">
        <f aca="false">I$69/1000/$G70-1</f>
        <v>-0.589453846888837</v>
      </c>
      <c r="J70" s="74" t="n">
        <f aca="false">J$69/1000/$G70-1</f>
        <v>-0.623433342256849</v>
      </c>
      <c r="K70" s="74" t="n">
        <f aca="false">K$69/1000/$G70-1</f>
        <v>-0.626165199892218</v>
      </c>
      <c r="L70" s="74" t="n">
        <f aca="false">L$69/1000/$G70-1</f>
        <v>-0.625581545188773</v>
      </c>
      <c r="M70" s="74" t="n">
        <f aca="false">M$69/1000/$G70-1</f>
        <v>-0.633186240488867</v>
      </c>
    </row>
    <row r="71" customFormat="false" ht="15.75" hidden="false" customHeight="false" outlineLevel="0" collapsed="false">
      <c r="B71" s="60" t="n">
        <v>5003</v>
      </c>
      <c r="C71" s="60" t="s">
        <v>207</v>
      </c>
      <c r="D71" s="60" t="s">
        <v>204</v>
      </c>
      <c r="E71" s="60" t="s">
        <v>140</v>
      </c>
      <c r="F71" s="60" t="s">
        <v>136</v>
      </c>
      <c r="G71" s="61" t="n">
        <v>1742</v>
      </c>
      <c r="H71" s="74" t="n">
        <f aca="false">H$69/1000/$G71-1</f>
        <v>-0.06498794489093</v>
      </c>
      <c r="I71" s="74" t="n">
        <f aca="false">I$69/1000/$G71-1</f>
        <v>0.011282171641791</v>
      </c>
      <c r="J71" s="74" t="n">
        <f aca="false">J$69/1000/$G71-1</f>
        <v>-0.0724181811849235</v>
      </c>
      <c r="K71" s="74" t="n">
        <f aca="false">K$69/1000/$G71-1</f>
        <v>-0.079147458517512</v>
      </c>
      <c r="L71" s="74" t="n">
        <f aca="false">L$69/1000/$G71-1</f>
        <v>-0.0777097648708515</v>
      </c>
      <c r="M71" s="74" t="n">
        <f aca="false">M$69/1000/$G71-1</f>
        <v>-0.0964421113304982</v>
      </c>
    </row>
    <row r="72" customFormat="false" ht="15.75" hidden="false" customHeight="false" outlineLevel="0" collapsed="false">
      <c r="B72" s="60" t="n">
        <v>5004</v>
      </c>
      <c r="C72" s="60" t="s">
        <v>208</v>
      </c>
      <c r="D72" s="60" t="s">
        <v>204</v>
      </c>
      <c r="E72" s="60" t="s">
        <v>140</v>
      </c>
      <c r="F72" s="60" t="s">
        <v>136</v>
      </c>
      <c r="G72" s="61" t="n">
        <v>1400</v>
      </c>
      <c r="H72" s="74" t="n">
        <f aca="false">SUM(H$51:H$53)/1000/$G72-1</f>
        <v>-0.349206428571429</v>
      </c>
      <c r="I72" s="74" t="n">
        <f aca="false">SUM(I$51:I$53)/1000/$G72-1</f>
        <v>-0.255884612142857</v>
      </c>
      <c r="J72" s="74" t="n">
        <f aca="false">SUM(J$51:J$53)/1000/$G72-1</f>
        <v>-0.359899622588669</v>
      </c>
      <c r="K72" s="74" t="n">
        <f aca="false">SUM(K$51:K$53)/1000/$G72-1</f>
        <v>-0.394092051955361</v>
      </c>
      <c r="L72" s="74" t="n">
        <f aca="false">SUM(L$51:L$53)/1000/$G72-1</f>
        <v>-0.390659578860731</v>
      </c>
      <c r="M72" s="74" t="n">
        <f aca="false">SUM(M$51:M$53)/1000/$G72-1</f>
        <v>-0.416960827098377</v>
      </c>
    </row>
    <row r="73" customFormat="false" ht="15.75" hidden="false" customHeight="false" outlineLevel="0" collapsed="false">
      <c r="B73" s="60" t="n">
        <v>5005</v>
      </c>
      <c r="C73" s="60" t="s">
        <v>209</v>
      </c>
      <c r="D73" s="60" t="s">
        <v>204</v>
      </c>
      <c r="E73" s="60" t="s">
        <v>140</v>
      </c>
      <c r="F73" s="60" t="s">
        <v>136</v>
      </c>
      <c r="G73" s="61" t="n">
        <v>934</v>
      </c>
      <c r="H73" s="74" t="n">
        <f aca="false">SUM(H$51:H$53)/1000/$G73-1</f>
        <v>-0.0245064239828694</v>
      </c>
      <c r="I73" s="74" t="n">
        <f aca="false">SUM(I$51:I$53)/1000/$G73-1</f>
        <v>0.115376384368308</v>
      </c>
      <c r="J73" s="74" t="n">
        <f aca="false">SUM(J$51:J$53)/1000/$G73-1</f>
        <v>-0.0405347661928658</v>
      </c>
      <c r="K73" s="74" t="n">
        <f aca="false">SUM(K$51:K$53)/1000/$G73-1</f>
        <v>-0.0917868016461521</v>
      </c>
      <c r="L73" s="74" t="n">
        <f aca="false">SUM(L$51:L$53)/1000/$G73-1</f>
        <v>-0.0866417670289328</v>
      </c>
      <c r="M73" s="74" t="n">
        <f aca="false">SUM(M$51:M$53)/1000/$G73-1</f>
        <v>-0.126065479590715</v>
      </c>
    </row>
    <row r="74" customFormat="false" ht="15.75" hidden="false" customHeight="false" outlineLevel="0" collapsed="false">
      <c r="B74" s="60" t="n">
        <v>5006</v>
      </c>
      <c r="C74" s="60" t="s">
        <v>210</v>
      </c>
      <c r="D74" s="60" t="s">
        <v>204</v>
      </c>
      <c r="E74" s="60" t="s">
        <v>140</v>
      </c>
      <c r="F74" s="60" t="s">
        <v>136</v>
      </c>
      <c r="G74" s="61" t="n">
        <v>600</v>
      </c>
      <c r="H74" s="74" t="n">
        <f aca="false">H$67/1000/$G74-1</f>
        <v>0.196133333333333</v>
      </c>
      <c r="I74" s="74" t="n">
        <f aca="false">I$67/1000/$G74-1</f>
        <v>0.19982</v>
      </c>
      <c r="J74" s="74" t="n">
        <f aca="false">J$67/1000/$G74-1</f>
        <v>0.199511666666667</v>
      </c>
      <c r="K74" s="74" t="n">
        <f aca="false">K$67/1000/$G74-1</f>
        <v>0.259756666666667</v>
      </c>
      <c r="L74" s="74" t="n">
        <f aca="false">L$67/1000/$G74-1</f>
        <v>0.255921666666667</v>
      </c>
      <c r="M74" s="74" t="n">
        <f aca="false">M$67/1000/$G74-1</f>
        <v>0.262905</v>
      </c>
    </row>
    <row r="75" customFormat="false" ht="15.75" hidden="false" customHeight="false" outlineLevel="0" collapsed="false">
      <c r="B75" s="60" t="n">
        <v>5007</v>
      </c>
      <c r="C75" s="60" t="s">
        <v>211</v>
      </c>
      <c r="D75" s="60" t="s">
        <v>204</v>
      </c>
      <c r="E75" s="60" t="s">
        <v>140</v>
      </c>
      <c r="F75" s="60" t="s">
        <v>136</v>
      </c>
      <c r="G75" s="61" t="n">
        <v>808</v>
      </c>
      <c r="H75" s="74" t="n">
        <f aca="false">H$67/1000/$G75-1</f>
        <v>-0.111782178217822</v>
      </c>
      <c r="I75" s="74" t="n">
        <f aca="false">I$67/1000/$G75-1</f>
        <v>-0.109044554455445</v>
      </c>
      <c r="J75" s="74" t="n">
        <f aca="false">J$67/1000/$G75-1</f>
        <v>-0.109273514851485</v>
      </c>
      <c r="K75" s="74" t="n">
        <f aca="false">K$67/1000/$G75-1</f>
        <v>-0.0645371287128712</v>
      </c>
      <c r="L75" s="74" t="n">
        <f aca="false">L$67/1000/$G75-1</f>
        <v>-0.067384900990099</v>
      </c>
      <c r="M75" s="74" t="n">
        <f aca="false">M$67/1000/$G75-1</f>
        <v>-0.0621992574257425</v>
      </c>
    </row>
    <row r="76" customFormat="false" ht="15.75" hidden="false" customHeight="false" outlineLevel="0" collapsed="false">
      <c r="B76" s="60" t="n">
        <v>5008</v>
      </c>
      <c r="C76" s="60" t="s">
        <v>212</v>
      </c>
      <c r="D76" s="60" t="s">
        <v>204</v>
      </c>
      <c r="E76" s="60" t="s">
        <v>140</v>
      </c>
      <c r="F76" s="60" t="s">
        <v>136</v>
      </c>
      <c r="G76" s="61" t="n">
        <v>37.9</v>
      </c>
      <c r="H76" s="74" t="n">
        <f aca="false">SUM(H$23:H$27)/1000/$G76-1</f>
        <v>-0.00105540897097622</v>
      </c>
      <c r="I76" s="74" t="n">
        <f aca="false">SUM(I$23:I$27)/1000/$G76-1</f>
        <v>0.0457246840788743</v>
      </c>
      <c r="J76" s="74" t="n">
        <f aca="false">SUM(J$23:J$27)/1000/$G76-1</f>
        <v>-0.0623876703913993</v>
      </c>
      <c r="K76" s="74" t="n">
        <f aca="false">SUM(K$23:K$27)/1000/$G76-1</f>
        <v>-0.225342547711068</v>
      </c>
      <c r="L76" s="74" t="n">
        <f aca="false">SUM(L$23:L$27)/1000/$G76-1</f>
        <v>-0.246993296147484</v>
      </c>
      <c r="M76" s="74" t="n">
        <f aca="false">SUM(M$23:M$27)/1000/$G76-1</f>
        <v>-0.273105244828543</v>
      </c>
    </row>
    <row r="78" customFormat="false" ht="15.75" hidden="false" customHeight="false" outlineLevel="0" collapsed="false">
      <c r="B78" s="75"/>
      <c r="C78" s="75" t="s">
        <v>213</v>
      </c>
      <c r="D78" s="75"/>
      <c r="E78" s="75"/>
      <c r="F78" s="75"/>
      <c r="G78" s="75"/>
      <c r="H78" s="75"/>
      <c r="I78" s="75"/>
      <c r="J78" s="75"/>
      <c r="K78" s="75"/>
      <c r="L78" s="75"/>
      <c r="M78" s="75"/>
    </row>
    <row r="79" customFormat="false" ht="15.75" hidden="false" customHeight="false" outlineLevel="0" collapsed="false">
      <c r="B79" s="76"/>
      <c r="C79" s="76" t="s">
        <v>214</v>
      </c>
      <c r="D79" s="76" t="s">
        <v>163</v>
      </c>
      <c r="E79" s="76" t="s">
        <v>175</v>
      </c>
      <c r="F79" s="76" t="s">
        <v>136</v>
      </c>
      <c r="G79" s="77"/>
      <c r="H79" s="78" t="n">
        <v>0.53357</v>
      </c>
      <c r="I79" s="78" t="n">
        <v>0.51399</v>
      </c>
      <c r="J79" s="78" t="n">
        <v>0.53519</v>
      </c>
      <c r="K79" s="78" t="n">
        <v>0.54317</v>
      </c>
      <c r="L79" s="78" t="n">
        <v>0.55514</v>
      </c>
      <c r="M79" s="78" t="n">
        <v>0.576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O75"/>
  <sheetViews>
    <sheetView showFormulas="false" showGridLines="true" showRowColHeaders="true" showZeros="true" rightToLeft="false" tabSelected="true" showOutlineSymbols="true" defaultGridColor="true" view="normal" topLeftCell="D41" colorId="64" zoomScale="100" zoomScaleNormal="100" zoomScalePageLayoutView="100" workbookViewId="0">
      <selection pane="topLeft" activeCell="H41" activeCellId="0" sqref="H41"/>
    </sheetView>
  </sheetViews>
  <sheetFormatPr defaultColWidth="11" defaultRowHeight="15.75" zeroHeight="false" outlineLevelRow="0" outlineLevelCol="0"/>
  <cols>
    <col collapsed="false" customWidth="false" hidden="false" outlineLevel="0" max="2" min="1" style="79" width="11"/>
    <col collapsed="false" customWidth="true" hidden="false" outlineLevel="0" max="3" min="3" style="79" width="62.83"/>
    <col collapsed="false" customWidth="true" hidden="false" outlineLevel="0" max="4" min="4" style="80" width="19.83"/>
    <col collapsed="false" customWidth="true" hidden="false" outlineLevel="0" max="5" min="5" style="80" width="21.66"/>
    <col collapsed="false" customWidth="true" hidden="false" outlineLevel="0" max="6" min="6" style="80" width="18.83"/>
    <col collapsed="false" customWidth="false" hidden="false" outlineLevel="0" max="7" min="7" style="80" width="11"/>
    <col collapsed="false" customWidth="true" hidden="false" outlineLevel="0" max="8" min="8" style="81" width="113.66"/>
    <col collapsed="false" customWidth="true" hidden="false" outlineLevel="0" max="9" min="9" style="80" width="28.33"/>
    <col collapsed="false" customWidth="true" hidden="false" outlineLevel="0" max="10" min="10" style="79" width="22"/>
    <col collapsed="false" customWidth="true" hidden="false" outlineLevel="0" max="11" min="11" style="79" width="21.83"/>
    <col collapsed="false" customWidth="false" hidden="false" outlineLevel="0" max="16384" min="12" style="79" width="11"/>
  </cols>
  <sheetData>
    <row r="2" customFormat="false" ht="31.3" hidden="false" customHeight="false" outlineLevel="0" collapsed="false">
      <c r="B2" s="57"/>
      <c r="C2" s="57" t="s">
        <v>108</v>
      </c>
      <c r="D2" s="82" t="s">
        <v>109</v>
      </c>
      <c r="E2" s="82" t="s">
        <v>110</v>
      </c>
      <c r="F2" s="82" t="s">
        <v>111</v>
      </c>
      <c r="G2" s="83"/>
      <c r="H2" s="84" t="s">
        <v>215</v>
      </c>
      <c r="I2" s="82" t="s">
        <v>216</v>
      </c>
      <c r="J2" s="57"/>
      <c r="K2" s="57" t="s">
        <v>218</v>
      </c>
    </row>
    <row r="3" customFormat="false" ht="16.4" hidden="false" customHeight="false" outlineLevel="0" collapsed="false">
      <c r="B3" s="85"/>
      <c r="C3" s="85" t="s">
        <v>112</v>
      </c>
      <c r="D3" s="86"/>
      <c r="E3" s="86"/>
      <c r="F3" s="86"/>
      <c r="G3" s="86"/>
      <c r="H3" s="87"/>
      <c r="I3" s="86"/>
      <c r="J3" s="85"/>
      <c r="K3" s="85"/>
    </row>
    <row r="4" customFormat="false" ht="16.4" hidden="false" customHeight="false" outlineLevel="0" collapsed="false">
      <c r="B4" s="88" t="n">
        <v>1001</v>
      </c>
      <c r="C4" s="88" t="s">
        <v>113</v>
      </c>
      <c r="D4" s="71" t="s">
        <v>114</v>
      </c>
      <c r="E4" s="71" t="s">
        <v>115</v>
      </c>
      <c r="F4" s="71" t="s">
        <v>116</v>
      </c>
      <c r="G4" s="89"/>
      <c r="H4" s="90" t="s">
        <v>219</v>
      </c>
      <c r="I4" s="91"/>
      <c r="J4" s="92"/>
      <c r="K4" s="92"/>
    </row>
    <row r="5" customFormat="false" ht="16.4" hidden="false" customHeight="false" outlineLevel="0" collapsed="false">
      <c r="B5" s="88" t="n">
        <v>1002</v>
      </c>
      <c r="C5" s="88" t="s">
        <v>117</v>
      </c>
      <c r="D5" s="71" t="s">
        <v>114</v>
      </c>
      <c r="E5" s="71" t="s">
        <v>115</v>
      </c>
      <c r="F5" s="71" t="s">
        <v>118</v>
      </c>
      <c r="G5" s="89"/>
      <c r="H5" s="90" t="s">
        <v>221</v>
      </c>
      <c r="I5" s="91"/>
      <c r="J5" s="92"/>
      <c r="K5" s="92"/>
    </row>
    <row r="6" customFormat="false" ht="16.4" hidden="false" customHeight="false" outlineLevel="0" collapsed="false">
      <c r="B6" s="88" t="n">
        <v>1003</v>
      </c>
      <c r="C6" s="88" t="s">
        <v>119</v>
      </c>
      <c r="D6" s="71" t="s">
        <v>114</v>
      </c>
      <c r="E6" s="71" t="s">
        <v>115</v>
      </c>
      <c r="F6" s="71" t="s">
        <v>118</v>
      </c>
      <c r="G6" s="89"/>
      <c r="H6" s="90" t="s">
        <v>221</v>
      </c>
      <c r="I6" s="91"/>
      <c r="J6" s="92"/>
      <c r="K6" s="92"/>
    </row>
    <row r="7" customFormat="false" ht="16.4" hidden="false" customHeight="false" outlineLevel="0" collapsed="false">
      <c r="B7" s="88" t="n">
        <v>1004</v>
      </c>
      <c r="C7" s="88" t="s">
        <v>120</v>
      </c>
      <c r="D7" s="71" t="s">
        <v>114</v>
      </c>
      <c r="E7" s="71" t="s">
        <v>115</v>
      </c>
      <c r="F7" s="71" t="s">
        <v>118</v>
      </c>
      <c r="G7" s="89"/>
      <c r="H7" s="90" t="s">
        <v>221</v>
      </c>
      <c r="I7" s="91"/>
      <c r="J7" s="92"/>
      <c r="K7" s="92"/>
    </row>
    <row r="8" customFormat="false" ht="16.4" hidden="false" customHeight="false" outlineLevel="0" collapsed="false">
      <c r="B8" s="88" t="n">
        <v>1005</v>
      </c>
      <c r="C8" s="88" t="s">
        <v>121</v>
      </c>
      <c r="D8" s="71" t="s">
        <v>114</v>
      </c>
      <c r="E8" s="71" t="s">
        <v>115</v>
      </c>
      <c r="F8" s="71" t="s">
        <v>118</v>
      </c>
      <c r="G8" s="89"/>
      <c r="H8" s="93" t="s">
        <v>221</v>
      </c>
      <c r="I8" s="91"/>
      <c r="J8" s="92"/>
      <c r="K8" s="92"/>
    </row>
    <row r="9" customFormat="false" ht="16.4" hidden="false" customHeight="false" outlineLevel="0" collapsed="false">
      <c r="B9" s="88" t="n">
        <v>1006</v>
      </c>
      <c r="C9" s="88" t="s">
        <v>122</v>
      </c>
      <c r="D9" s="71" t="s">
        <v>114</v>
      </c>
      <c r="E9" s="71" t="s">
        <v>115</v>
      </c>
      <c r="F9" s="71" t="s">
        <v>123</v>
      </c>
      <c r="G9" s="89"/>
      <c r="H9" s="93" t="s">
        <v>222</v>
      </c>
      <c r="I9" s="91"/>
      <c r="J9" s="92"/>
      <c r="K9" s="92"/>
    </row>
    <row r="10" customFormat="false" ht="16.4" hidden="false" customHeight="false" outlineLevel="0" collapsed="false">
      <c r="B10" s="88" t="n">
        <v>1007</v>
      </c>
      <c r="C10" s="88" t="s">
        <v>124</v>
      </c>
      <c r="D10" s="71" t="s">
        <v>114</v>
      </c>
      <c r="E10" s="71" t="s">
        <v>115</v>
      </c>
      <c r="F10" s="71" t="s">
        <v>123</v>
      </c>
      <c r="G10" s="89"/>
      <c r="H10" s="93" t="s">
        <v>223</v>
      </c>
      <c r="I10" s="91"/>
      <c r="J10" s="92"/>
      <c r="K10" s="92"/>
    </row>
    <row r="11" customFormat="false" ht="16.4" hidden="false" customHeight="false" outlineLevel="0" collapsed="false">
      <c r="B11" s="88" t="n">
        <v>1008</v>
      </c>
      <c r="C11" s="88" t="s">
        <v>125</v>
      </c>
      <c r="D11" s="71" t="s">
        <v>114</v>
      </c>
      <c r="E11" s="71" t="s">
        <v>115</v>
      </c>
      <c r="F11" s="71" t="s">
        <v>126</v>
      </c>
      <c r="G11" s="89"/>
      <c r="H11" s="93" t="s">
        <v>224</v>
      </c>
      <c r="I11" s="91"/>
      <c r="J11" s="92"/>
      <c r="K11" s="92"/>
    </row>
    <row r="12" s="80" customFormat="true" ht="16.4" hidden="false" customHeight="false" outlineLevel="0" collapsed="false">
      <c r="B12" s="71" t="n">
        <v>1009</v>
      </c>
      <c r="C12" s="71" t="s">
        <v>127</v>
      </c>
      <c r="D12" s="71" t="s">
        <v>114</v>
      </c>
      <c r="E12" s="71" t="s">
        <v>115</v>
      </c>
      <c r="F12" s="71" t="s">
        <v>128</v>
      </c>
      <c r="G12" s="89"/>
      <c r="H12" s="93" t="s">
        <v>225</v>
      </c>
      <c r="I12" s="91"/>
      <c r="J12" s="91"/>
      <c r="K12" s="91" t="s">
        <v>226</v>
      </c>
    </row>
    <row r="13" customFormat="false" ht="16.4" hidden="false" customHeight="false" outlineLevel="0" collapsed="false">
      <c r="B13" s="88" t="n">
        <v>1010</v>
      </c>
      <c r="C13" s="88" t="s">
        <v>129</v>
      </c>
      <c r="D13" s="71" t="s">
        <v>114</v>
      </c>
      <c r="E13" s="71" t="s">
        <v>115</v>
      </c>
      <c r="F13" s="71" t="s">
        <v>130</v>
      </c>
      <c r="G13" s="89"/>
      <c r="H13" s="90" t="s">
        <v>227</v>
      </c>
      <c r="I13" s="91"/>
      <c r="J13" s="92"/>
      <c r="K13" s="92"/>
    </row>
    <row r="14" customFormat="false" ht="16.4" hidden="false" customHeight="false" outlineLevel="0" collapsed="false">
      <c r="B14" s="88" t="n">
        <v>1011</v>
      </c>
      <c r="C14" s="88" t="s">
        <v>131</v>
      </c>
      <c r="D14" s="71" t="s">
        <v>114</v>
      </c>
      <c r="E14" s="71" t="s">
        <v>132</v>
      </c>
      <c r="F14" s="71" t="s">
        <v>118</v>
      </c>
      <c r="G14" s="89"/>
      <c r="H14" s="90" t="s">
        <v>227</v>
      </c>
      <c r="I14" s="91"/>
      <c r="J14" s="92"/>
      <c r="K14" s="92" t="s">
        <v>229</v>
      </c>
    </row>
    <row r="15" customFormat="false" ht="16.4" hidden="false" customHeight="false" outlineLevel="0" collapsed="false">
      <c r="B15" s="88" t="n">
        <v>1012</v>
      </c>
      <c r="C15" s="88" t="s">
        <v>133</v>
      </c>
      <c r="D15" s="71" t="s">
        <v>114</v>
      </c>
      <c r="E15" s="71" t="s">
        <v>132</v>
      </c>
      <c r="F15" s="71" t="s">
        <v>134</v>
      </c>
      <c r="G15" s="89"/>
      <c r="H15" s="90" t="s">
        <v>230</v>
      </c>
      <c r="I15" s="91"/>
      <c r="J15" s="94"/>
      <c r="K15" s="92"/>
    </row>
    <row r="16" customFormat="false" ht="16.4" hidden="false" customHeight="false" outlineLevel="0" collapsed="false">
      <c r="B16" s="88" t="n">
        <v>1013</v>
      </c>
      <c r="C16" s="88" t="s">
        <v>135</v>
      </c>
      <c r="D16" s="71" t="s">
        <v>114</v>
      </c>
      <c r="E16" s="71" t="s">
        <v>132</v>
      </c>
      <c r="F16" s="71" t="s">
        <v>136</v>
      </c>
      <c r="G16" s="89"/>
      <c r="H16" s="90" t="s">
        <v>231</v>
      </c>
      <c r="I16" s="91"/>
      <c r="J16" s="94"/>
      <c r="K16" s="92"/>
    </row>
    <row r="17" customFormat="false" ht="16.4" hidden="false" customHeight="false" outlineLevel="0" collapsed="false">
      <c r="B17" s="88" t="n">
        <v>1014</v>
      </c>
      <c r="C17" s="88" t="s">
        <v>137</v>
      </c>
      <c r="D17" s="71" t="s">
        <v>114</v>
      </c>
      <c r="E17" s="71" t="s">
        <v>79</v>
      </c>
      <c r="F17" s="71" t="s">
        <v>116</v>
      </c>
      <c r="G17" s="89"/>
      <c r="H17" s="90" t="s">
        <v>232</v>
      </c>
      <c r="I17" s="91"/>
      <c r="J17" s="94"/>
      <c r="K17" s="92" t="s">
        <v>234</v>
      </c>
    </row>
    <row r="18" customFormat="false" ht="16.4" hidden="false" customHeight="false" outlineLevel="0" collapsed="false">
      <c r="B18" s="88" t="n">
        <v>1015</v>
      </c>
      <c r="C18" s="88" t="s">
        <v>138</v>
      </c>
      <c r="D18" s="71" t="s">
        <v>114</v>
      </c>
      <c r="E18" s="71" t="s">
        <v>79</v>
      </c>
      <c r="F18" s="71" t="s">
        <v>136</v>
      </c>
      <c r="G18" s="89"/>
      <c r="H18" s="93" t="s">
        <v>232</v>
      </c>
      <c r="I18" s="91"/>
      <c r="J18" s="94"/>
      <c r="K18" s="92" t="s">
        <v>234</v>
      </c>
    </row>
    <row r="19" customFormat="false" ht="16.4" hidden="false" customHeight="false" outlineLevel="0" collapsed="false">
      <c r="B19" s="88" t="n">
        <v>1016</v>
      </c>
      <c r="C19" s="88" t="s">
        <v>139</v>
      </c>
      <c r="D19" s="71" t="s">
        <v>114</v>
      </c>
      <c r="E19" s="71" t="s">
        <v>140</v>
      </c>
      <c r="F19" s="71" t="s">
        <v>141</v>
      </c>
      <c r="G19" s="89"/>
      <c r="H19" s="93" t="s">
        <v>235</v>
      </c>
      <c r="I19" s="91"/>
      <c r="J19" s="94"/>
      <c r="K19" s="92"/>
    </row>
    <row r="20" customFormat="false" ht="16.4" hidden="false" customHeight="false" outlineLevel="0" collapsed="false">
      <c r="B20" s="88" t="n">
        <v>1017</v>
      </c>
      <c r="C20" s="88" t="s">
        <v>142</v>
      </c>
      <c r="D20" s="71" t="s">
        <v>114</v>
      </c>
      <c r="E20" s="71" t="s">
        <v>140</v>
      </c>
      <c r="F20" s="71" t="s">
        <v>141</v>
      </c>
      <c r="G20" s="89"/>
      <c r="H20" s="93" t="s">
        <v>236</v>
      </c>
      <c r="I20" s="91"/>
      <c r="J20" s="94"/>
      <c r="K20" s="92"/>
    </row>
    <row r="21" customFormat="false" ht="16.4" hidden="false" customHeight="false" outlineLevel="0" collapsed="false">
      <c r="B21" s="88" t="n">
        <v>1018</v>
      </c>
      <c r="C21" s="88" t="s">
        <v>143</v>
      </c>
      <c r="D21" s="71" t="s">
        <v>114</v>
      </c>
      <c r="E21" s="71" t="s">
        <v>140</v>
      </c>
      <c r="F21" s="71" t="s">
        <v>141</v>
      </c>
      <c r="G21" s="89"/>
      <c r="H21" s="93" t="s">
        <v>235</v>
      </c>
      <c r="I21" s="91"/>
      <c r="J21" s="94"/>
      <c r="K21" s="92"/>
    </row>
    <row r="22" customFormat="false" ht="16.4" hidden="false" customHeight="false" outlineLevel="0" collapsed="false">
      <c r="B22" s="88" t="n">
        <v>1019</v>
      </c>
      <c r="C22" s="88" t="s">
        <v>144</v>
      </c>
      <c r="D22" s="71" t="s">
        <v>114</v>
      </c>
      <c r="E22" s="71" t="s">
        <v>140</v>
      </c>
      <c r="F22" s="71" t="s">
        <v>141</v>
      </c>
      <c r="G22" s="89"/>
      <c r="H22" s="90" t="s">
        <v>235</v>
      </c>
      <c r="I22" s="91"/>
      <c r="J22" s="94"/>
      <c r="K22" s="92"/>
    </row>
    <row r="23" customFormat="false" ht="16.4" hidden="false" customHeight="false" outlineLevel="0" collapsed="false">
      <c r="B23" s="88" t="n">
        <v>1020</v>
      </c>
      <c r="C23" s="88" t="s">
        <v>145</v>
      </c>
      <c r="D23" s="71" t="s">
        <v>114</v>
      </c>
      <c r="E23" s="71" t="s">
        <v>140</v>
      </c>
      <c r="F23" s="71" t="s">
        <v>141</v>
      </c>
      <c r="G23" s="89"/>
      <c r="H23" s="93" t="s">
        <v>238</v>
      </c>
      <c r="I23" s="91"/>
      <c r="J23" s="94"/>
      <c r="K23" s="92" t="s">
        <v>234</v>
      </c>
    </row>
    <row r="24" customFormat="false" ht="16.4" hidden="false" customHeight="false" outlineLevel="0" collapsed="false">
      <c r="B24" s="88" t="n">
        <v>1021</v>
      </c>
      <c r="C24" s="88" t="s">
        <v>146</v>
      </c>
      <c r="D24" s="71" t="s">
        <v>114</v>
      </c>
      <c r="E24" s="71" t="s">
        <v>140</v>
      </c>
      <c r="F24" s="71" t="s">
        <v>141</v>
      </c>
      <c r="G24" s="89"/>
      <c r="H24" s="93" t="s">
        <v>239</v>
      </c>
      <c r="I24" s="91"/>
      <c r="J24" s="94"/>
      <c r="K24" s="92"/>
    </row>
    <row r="25" customFormat="false" ht="16.4" hidden="false" customHeight="false" outlineLevel="0" collapsed="false">
      <c r="B25" s="85"/>
      <c r="C25" s="85" t="s">
        <v>147</v>
      </c>
      <c r="D25" s="86"/>
      <c r="E25" s="86"/>
      <c r="F25" s="86"/>
      <c r="G25" s="86"/>
      <c r="H25" s="86"/>
      <c r="I25" s="86"/>
      <c r="J25" s="86"/>
      <c r="K25" s="86"/>
    </row>
    <row r="26" customFormat="false" ht="31.3" hidden="false" customHeight="false" outlineLevel="0" collapsed="false">
      <c r="B26" s="88" t="n">
        <v>2001</v>
      </c>
      <c r="C26" s="95" t="s">
        <v>148</v>
      </c>
      <c r="D26" s="71" t="s">
        <v>51</v>
      </c>
      <c r="E26" s="71" t="s">
        <v>149</v>
      </c>
      <c r="F26" s="71" t="s">
        <v>118</v>
      </c>
      <c r="G26" s="89"/>
      <c r="H26" s="93" t="s">
        <v>240</v>
      </c>
      <c r="I26" s="96"/>
      <c r="J26" s="94"/>
      <c r="K26" s="92"/>
    </row>
    <row r="27" customFormat="false" ht="31.3" hidden="false" customHeight="false" outlineLevel="0" collapsed="false">
      <c r="B27" s="88" t="n">
        <v>2002</v>
      </c>
      <c r="C27" s="88" t="s">
        <v>150</v>
      </c>
      <c r="D27" s="71" t="s">
        <v>51</v>
      </c>
      <c r="E27" s="71" t="s">
        <v>149</v>
      </c>
      <c r="F27" s="71" t="s">
        <v>123</v>
      </c>
      <c r="G27" s="89"/>
      <c r="H27" s="93" t="s">
        <v>242</v>
      </c>
      <c r="I27" s="91"/>
      <c r="J27" s="94"/>
      <c r="K27" s="92"/>
    </row>
    <row r="28" customFormat="false" ht="31.3" hidden="false" customHeight="false" outlineLevel="0" collapsed="false">
      <c r="B28" s="88" t="n">
        <v>2003</v>
      </c>
      <c r="C28" s="88" t="s">
        <v>151</v>
      </c>
      <c r="D28" s="71" t="s">
        <v>51</v>
      </c>
      <c r="E28" s="71" t="s">
        <v>149</v>
      </c>
      <c r="F28" s="71" t="s">
        <v>123</v>
      </c>
      <c r="G28" s="89"/>
      <c r="H28" s="93" t="s">
        <v>243</v>
      </c>
      <c r="I28" s="91"/>
      <c r="J28" s="94"/>
      <c r="K28" s="92"/>
    </row>
    <row r="29" customFormat="false" ht="16.4" hidden="false" customHeight="false" outlineLevel="0" collapsed="false">
      <c r="B29" s="88" t="n">
        <v>2004</v>
      </c>
      <c r="C29" s="88" t="s">
        <v>152</v>
      </c>
      <c r="D29" s="71" t="s">
        <v>51</v>
      </c>
      <c r="E29" s="71" t="s">
        <v>153</v>
      </c>
      <c r="F29" s="71" t="s">
        <v>154</v>
      </c>
      <c r="G29" s="89"/>
      <c r="H29" s="93" t="s">
        <v>244</v>
      </c>
      <c r="I29" s="91"/>
      <c r="J29" s="94"/>
      <c r="K29" s="92"/>
    </row>
    <row r="30" customFormat="false" ht="16.4" hidden="false" customHeight="false" outlineLevel="0" collapsed="false">
      <c r="B30" s="88" t="n">
        <v>2005</v>
      </c>
      <c r="C30" s="88" t="s">
        <v>155</v>
      </c>
      <c r="D30" s="71" t="s">
        <v>51</v>
      </c>
      <c r="E30" s="71" t="s">
        <v>153</v>
      </c>
      <c r="F30" s="71" t="s">
        <v>156</v>
      </c>
      <c r="G30" s="89"/>
      <c r="H30" s="93" t="s">
        <v>245</v>
      </c>
      <c r="I30" s="91"/>
      <c r="J30" s="94"/>
      <c r="K30" s="97"/>
      <c r="L30" s="98"/>
      <c r="M30" s="98"/>
      <c r="N30" s="98"/>
      <c r="O30" s="98"/>
    </row>
    <row r="31" customFormat="false" ht="16.4" hidden="false" customHeight="false" outlineLevel="0" collapsed="false">
      <c r="B31" s="88" t="n">
        <v>2006</v>
      </c>
      <c r="C31" s="88" t="s">
        <v>157</v>
      </c>
      <c r="D31" s="71" t="s">
        <v>51</v>
      </c>
      <c r="E31" s="71" t="s">
        <v>153</v>
      </c>
      <c r="F31" s="71" t="s">
        <v>158</v>
      </c>
      <c r="G31" s="89"/>
      <c r="H31" s="93" t="s">
        <v>247</v>
      </c>
      <c r="I31" s="91"/>
      <c r="J31" s="94"/>
      <c r="K31" s="99"/>
      <c r="L31" s="100"/>
      <c r="M31" s="100"/>
      <c r="N31" s="100"/>
      <c r="O31" s="100"/>
    </row>
    <row r="32" customFormat="false" ht="16.4" hidden="false" customHeight="false" outlineLevel="0" collapsed="false">
      <c r="B32" s="88" t="n">
        <v>2007</v>
      </c>
      <c r="C32" s="88" t="s">
        <v>159</v>
      </c>
      <c r="D32" s="71" t="s">
        <v>51</v>
      </c>
      <c r="E32" s="71" t="s">
        <v>140</v>
      </c>
      <c r="F32" s="71" t="s">
        <v>141</v>
      </c>
      <c r="G32" s="89"/>
      <c r="H32" s="93" t="s">
        <v>248</v>
      </c>
      <c r="I32" s="91"/>
      <c r="J32" s="99"/>
      <c r="K32" s="99"/>
      <c r="L32" s="100"/>
      <c r="M32" s="100"/>
      <c r="N32" s="100"/>
      <c r="O32" s="100"/>
    </row>
    <row r="33" customFormat="false" ht="16.4" hidden="false" customHeight="false" outlineLevel="0" collapsed="false">
      <c r="B33" s="88" t="n">
        <v>2008</v>
      </c>
      <c r="C33" s="88" t="s">
        <v>160</v>
      </c>
      <c r="D33" s="71" t="s">
        <v>51</v>
      </c>
      <c r="E33" s="71" t="s">
        <v>140</v>
      </c>
      <c r="F33" s="71" t="s">
        <v>141</v>
      </c>
      <c r="G33" s="89"/>
      <c r="H33" s="93" t="s">
        <v>248</v>
      </c>
      <c r="I33" s="91"/>
      <c r="J33" s="99"/>
      <c r="K33" s="99"/>
      <c r="L33" s="100"/>
      <c r="M33" s="100"/>
      <c r="N33" s="100"/>
      <c r="O33" s="100"/>
    </row>
    <row r="34" customFormat="false" ht="16.4" hidden="false" customHeight="false" outlineLevel="0" collapsed="false">
      <c r="B34" s="85"/>
      <c r="C34" s="85" t="s">
        <v>161</v>
      </c>
      <c r="D34" s="86"/>
      <c r="E34" s="86"/>
      <c r="F34" s="86"/>
      <c r="G34" s="86"/>
      <c r="H34" s="86"/>
      <c r="I34" s="86"/>
      <c r="J34" s="86"/>
      <c r="K34" s="86"/>
    </row>
    <row r="35" customFormat="false" ht="16.4" hidden="false" customHeight="false" outlineLevel="0" collapsed="false">
      <c r="B35" s="88" t="n">
        <v>3001</v>
      </c>
      <c r="C35" s="88" t="s">
        <v>162</v>
      </c>
      <c r="D35" s="71" t="s">
        <v>163</v>
      </c>
      <c r="E35" s="71" t="s">
        <v>149</v>
      </c>
      <c r="F35" s="71" t="s">
        <v>164</v>
      </c>
      <c r="G35" s="89"/>
      <c r="H35" s="93" t="s">
        <v>249</v>
      </c>
      <c r="I35" s="101"/>
      <c r="J35" s="92"/>
      <c r="K35" s="92"/>
    </row>
    <row r="36" customFormat="false" ht="16.4" hidden="false" customHeight="false" outlineLevel="0" collapsed="false">
      <c r="B36" s="88" t="n">
        <v>3002</v>
      </c>
      <c r="C36" s="88" t="s">
        <v>165</v>
      </c>
      <c r="D36" s="71" t="s">
        <v>163</v>
      </c>
      <c r="E36" s="71" t="s">
        <v>149</v>
      </c>
      <c r="F36" s="71" t="s">
        <v>136</v>
      </c>
      <c r="G36" s="89"/>
      <c r="H36" s="93" t="s">
        <v>249</v>
      </c>
      <c r="I36" s="101"/>
      <c r="J36" s="92"/>
      <c r="K36" s="92"/>
    </row>
    <row r="37" customFormat="false" ht="91" hidden="false" customHeight="false" outlineLevel="0" collapsed="false">
      <c r="B37" s="88" t="n">
        <v>3003</v>
      </c>
      <c r="C37" s="88" t="s">
        <v>166</v>
      </c>
      <c r="D37" s="71" t="s">
        <v>163</v>
      </c>
      <c r="E37" s="71" t="s">
        <v>149</v>
      </c>
      <c r="F37" s="71" t="s">
        <v>136</v>
      </c>
      <c r="G37" s="89"/>
      <c r="H37" s="93" t="s">
        <v>250</v>
      </c>
      <c r="I37" s="101"/>
      <c r="J37" s="92"/>
      <c r="K37" s="92"/>
    </row>
    <row r="38" customFormat="false" ht="16.4" hidden="false" customHeight="false" outlineLevel="0" collapsed="false">
      <c r="B38" s="88" t="n">
        <v>3004</v>
      </c>
      <c r="C38" s="88" t="s">
        <v>167</v>
      </c>
      <c r="D38" s="71" t="s">
        <v>163</v>
      </c>
      <c r="E38" s="71" t="s">
        <v>168</v>
      </c>
      <c r="F38" s="71" t="s">
        <v>164</v>
      </c>
      <c r="G38" s="89"/>
      <c r="H38" s="93" t="s">
        <v>251</v>
      </c>
      <c r="I38" s="101"/>
      <c r="J38" s="92"/>
      <c r="K38" s="92"/>
    </row>
    <row r="39" customFormat="false" ht="16.4" hidden="false" customHeight="false" outlineLevel="0" collapsed="false">
      <c r="B39" s="88" t="n">
        <v>3005</v>
      </c>
      <c r="C39" s="88" t="s">
        <v>169</v>
      </c>
      <c r="D39" s="71" t="s">
        <v>163</v>
      </c>
      <c r="E39" s="71" t="s">
        <v>168</v>
      </c>
      <c r="F39" s="71" t="s">
        <v>164</v>
      </c>
      <c r="G39" s="89"/>
      <c r="H39" s="93" t="s">
        <v>251</v>
      </c>
      <c r="I39" s="101"/>
      <c r="J39" s="92"/>
      <c r="K39" s="92"/>
    </row>
    <row r="40" customFormat="false" ht="16.4" hidden="false" customHeight="false" outlineLevel="0" collapsed="false">
      <c r="B40" s="88" t="n">
        <v>3006</v>
      </c>
      <c r="C40" s="88" t="s">
        <v>170</v>
      </c>
      <c r="D40" s="71" t="s">
        <v>163</v>
      </c>
      <c r="E40" s="71" t="s">
        <v>171</v>
      </c>
      <c r="F40" s="71" t="s">
        <v>164</v>
      </c>
      <c r="G40" s="89"/>
      <c r="H40" s="93" t="s">
        <v>251</v>
      </c>
      <c r="I40" s="101"/>
      <c r="J40" s="92"/>
      <c r="K40" s="92"/>
    </row>
    <row r="41" customFormat="false" ht="150.7" hidden="false" customHeight="false" outlineLevel="0" collapsed="false">
      <c r="B41" s="88" t="n">
        <v>3007</v>
      </c>
      <c r="C41" s="88" t="s">
        <v>172</v>
      </c>
      <c r="D41" s="71" t="s">
        <v>163</v>
      </c>
      <c r="E41" s="71" t="s">
        <v>168</v>
      </c>
      <c r="F41" s="71" t="s">
        <v>136</v>
      </c>
      <c r="G41" s="89"/>
      <c r="H41" s="93" t="s">
        <v>252</v>
      </c>
      <c r="I41" s="91"/>
      <c r="J41" s="92"/>
      <c r="K41" s="92"/>
    </row>
    <row r="42" customFormat="false" ht="150.7" hidden="false" customHeight="false" outlineLevel="0" collapsed="false">
      <c r="B42" s="88" t="n">
        <v>3008</v>
      </c>
      <c r="C42" s="88" t="s">
        <v>173</v>
      </c>
      <c r="D42" s="71" t="s">
        <v>163</v>
      </c>
      <c r="E42" s="71" t="s">
        <v>168</v>
      </c>
      <c r="F42" s="71" t="s">
        <v>136</v>
      </c>
      <c r="G42" s="89"/>
      <c r="H42" s="93" t="s">
        <v>253</v>
      </c>
      <c r="I42" s="91"/>
      <c r="J42" s="92"/>
      <c r="K42" s="92"/>
    </row>
    <row r="43" customFormat="false" ht="16.4" hidden="false" customHeight="false" outlineLevel="0" collapsed="false">
      <c r="B43" s="88" t="n">
        <v>3009</v>
      </c>
      <c r="C43" s="88" t="s">
        <v>174</v>
      </c>
      <c r="D43" s="71" t="s">
        <v>163</v>
      </c>
      <c r="E43" s="71" t="s">
        <v>175</v>
      </c>
      <c r="F43" s="71" t="s">
        <v>164</v>
      </c>
      <c r="G43" s="89"/>
      <c r="H43" s="93" t="s">
        <v>254</v>
      </c>
      <c r="I43" s="101"/>
      <c r="J43" s="92"/>
      <c r="K43" s="92"/>
    </row>
    <row r="44" customFormat="false" ht="16.4" hidden="false" customHeight="false" outlineLevel="0" collapsed="false">
      <c r="B44" s="88" t="n">
        <v>3010</v>
      </c>
      <c r="C44" s="88" t="s">
        <v>176</v>
      </c>
      <c r="D44" s="71" t="s">
        <v>163</v>
      </c>
      <c r="E44" s="71" t="s">
        <v>175</v>
      </c>
      <c r="F44" s="71" t="s">
        <v>136</v>
      </c>
      <c r="G44" s="89"/>
      <c r="H44" s="93" t="s">
        <v>255</v>
      </c>
      <c r="I44" s="101" t="s">
        <v>256</v>
      </c>
      <c r="J44" s="92"/>
      <c r="K44" s="92"/>
    </row>
    <row r="45" customFormat="false" ht="16.4" hidden="false" customHeight="false" outlineLevel="0" collapsed="false">
      <c r="B45" s="88" t="n">
        <v>3011</v>
      </c>
      <c r="C45" s="88" t="s">
        <v>177</v>
      </c>
      <c r="D45" s="71" t="s">
        <v>163</v>
      </c>
      <c r="E45" s="71" t="s">
        <v>175</v>
      </c>
      <c r="F45" s="71" t="s">
        <v>164</v>
      </c>
      <c r="G45" s="89"/>
      <c r="H45" s="93" t="s">
        <v>255</v>
      </c>
      <c r="I45" s="101" t="s">
        <v>258</v>
      </c>
      <c r="J45" s="92"/>
      <c r="K45" s="92"/>
    </row>
    <row r="46" customFormat="false" ht="16.4" hidden="false" customHeight="false" outlineLevel="0" collapsed="false">
      <c r="B46" s="88" t="n">
        <v>3012</v>
      </c>
      <c r="C46" s="88" t="s">
        <v>178</v>
      </c>
      <c r="D46" s="71" t="s">
        <v>163</v>
      </c>
      <c r="E46" s="71" t="s">
        <v>179</v>
      </c>
      <c r="F46" s="71" t="s">
        <v>116</v>
      </c>
      <c r="G46" s="89"/>
      <c r="H46" s="93" t="s">
        <v>259</v>
      </c>
      <c r="I46" s="101" t="s">
        <v>260</v>
      </c>
      <c r="J46" s="92"/>
      <c r="K46" s="92"/>
    </row>
    <row r="47" customFormat="false" ht="16.4" hidden="false" customHeight="false" outlineLevel="0" collapsed="false">
      <c r="B47" s="88" t="n">
        <v>3013</v>
      </c>
      <c r="C47" s="88" t="s">
        <v>180</v>
      </c>
      <c r="D47" s="71" t="s">
        <v>163</v>
      </c>
      <c r="E47" s="71" t="s">
        <v>140</v>
      </c>
      <c r="F47" s="71" t="s">
        <v>141</v>
      </c>
      <c r="G47" s="89"/>
      <c r="H47" s="93" t="s">
        <v>261</v>
      </c>
      <c r="I47" s="101"/>
      <c r="J47" s="92"/>
      <c r="K47" s="92"/>
    </row>
    <row r="48" customFormat="false" ht="31.3" hidden="false" customHeight="false" outlineLevel="0" collapsed="false">
      <c r="B48" s="88" t="n">
        <v>3014</v>
      </c>
      <c r="C48" s="88" t="s">
        <v>181</v>
      </c>
      <c r="D48" s="71" t="s">
        <v>163</v>
      </c>
      <c r="E48" s="71" t="s">
        <v>140</v>
      </c>
      <c r="F48" s="71" t="s">
        <v>141</v>
      </c>
      <c r="G48" s="89"/>
      <c r="H48" s="93" t="s">
        <v>262</v>
      </c>
      <c r="I48" s="101"/>
      <c r="J48" s="92"/>
      <c r="K48" s="92"/>
    </row>
    <row r="49" customFormat="false" ht="16.4" hidden="false" customHeight="false" outlineLevel="0" collapsed="false">
      <c r="B49" s="88" t="n">
        <v>3015</v>
      </c>
      <c r="C49" s="88" t="s">
        <v>182</v>
      </c>
      <c r="D49" s="71" t="s">
        <v>163</v>
      </c>
      <c r="E49" s="71" t="s">
        <v>140</v>
      </c>
      <c r="F49" s="71" t="s">
        <v>141</v>
      </c>
      <c r="G49" s="89"/>
      <c r="H49" s="93" t="s">
        <v>263</v>
      </c>
      <c r="I49" s="101"/>
      <c r="J49" s="92"/>
      <c r="K49" s="92"/>
    </row>
    <row r="50" customFormat="false" ht="31.3" hidden="false" customHeight="false" outlineLevel="0" collapsed="false">
      <c r="B50" s="88" t="n">
        <v>3016</v>
      </c>
      <c r="C50" s="88" t="s">
        <v>183</v>
      </c>
      <c r="D50" s="71" t="s">
        <v>163</v>
      </c>
      <c r="E50" s="71" t="s">
        <v>140</v>
      </c>
      <c r="F50" s="71" t="s">
        <v>141</v>
      </c>
      <c r="G50" s="89"/>
      <c r="H50" s="93" t="s">
        <v>264</v>
      </c>
      <c r="I50" s="101"/>
      <c r="J50" s="92"/>
      <c r="K50" s="92"/>
    </row>
    <row r="51" customFormat="false" ht="31.3" hidden="false" customHeight="false" outlineLevel="0" collapsed="false">
      <c r="B51" s="88" t="n">
        <v>3017</v>
      </c>
      <c r="C51" s="88" t="s">
        <v>184</v>
      </c>
      <c r="D51" s="71" t="s">
        <v>163</v>
      </c>
      <c r="E51" s="71" t="s">
        <v>140</v>
      </c>
      <c r="F51" s="71" t="s">
        <v>141</v>
      </c>
      <c r="G51" s="89"/>
      <c r="H51" s="93" t="s">
        <v>265</v>
      </c>
      <c r="I51" s="101"/>
      <c r="J51" s="92"/>
      <c r="K51" s="92"/>
    </row>
    <row r="52" customFormat="false" ht="16.4" hidden="false" customHeight="false" outlineLevel="0" collapsed="false">
      <c r="B52" s="85"/>
      <c r="C52" s="85" t="s">
        <v>185</v>
      </c>
      <c r="D52" s="86"/>
      <c r="E52" s="86"/>
      <c r="F52" s="86"/>
      <c r="G52" s="86"/>
      <c r="H52" s="86"/>
      <c r="I52" s="86"/>
      <c r="J52" s="86"/>
      <c r="K52" s="86"/>
    </row>
    <row r="53" customFormat="false" ht="16.4" hidden="false" customHeight="false" outlineLevel="0" collapsed="false">
      <c r="B53" s="88" t="n">
        <v>4001</v>
      </c>
      <c r="C53" s="88" t="s">
        <v>186</v>
      </c>
      <c r="D53" s="71" t="s">
        <v>79</v>
      </c>
      <c r="E53" s="71" t="s">
        <v>187</v>
      </c>
      <c r="F53" s="71" t="s">
        <v>116</v>
      </c>
      <c r="G53" s="89"/>
      <c r="H53" s="93" t="s">
        <v>266</v>
      </c>
      <c r="I53" s="101"/>
      <c r="J53" s="92"/>
      <c r="K53" s="92"/>
    </row>
    <row r="54" customFormat="false" ht="16.4" hidden="false" customHeight="false" outlineLevel="0" collapsed="false">
      <c r="B54" s="88" t="n">
        <v>4002</v>
      </c>
      <c r="C54" s="88" t="s">
        <v>188</v>
      </c>
      <c r="D54" s="71" t="s">
        <v>79</v>
      </c>
      <c r="E54" s="71" t="s">
        <v>187</v>
      </c>
      <c r="F54" s="71" t="s">
        <v>116</v>
      </c>
      <c r="G54" s="89"/>
      <c r="H54" s="93" t="s">
        <v>267</v>
      </c>
      <c r="I54" s="101" t="s">
        <v>268</v>
      </c>
      <c r="J54" s="92"/>
      <c r="K54" s="92"/>
    </row>
    <row r="55" customFormat="false" ht="16.4" hidden="false" customHeight="false" outlineLevel="0" collapsed="false">
      <c r="B55" s="88" t="n">
        <v>4003</v>
      </c>
      <c r="C55" s="88" t="s">
        <v>189</v>
      </c>
      <c r="D55" s="71" t="s">
        <v>79</v>
      </c>
      <c r="E55" s="71" t="s">
        <v>187</v>
      </c>
      <c r="F55" s="71" t="s">
        <v>116</v>
      </c>
      <c r="G55" s="89"/>
      <c r="H55" s="93" t="s">
        <v>269</v>
      </c>
      <c r="I55" s="102" t="s">
        <v>270</v>
      </c>
      <c r="J55" s="92"/>
      <c r="K55" s="92"/>
    </row>
    <row r="56" customFormat="false" ht="16.4" hidden="false" customHeight="false" outlineLevel="0" collapsed="false">
      <c r="B56" s="88" t="n">
        <v>4004</v>
      </c>
      <c r="C56" s="88" t="s">
        <v>190</v>
      </c>
      <c r="D56" s="71" t="s">
        <v>79</v>
      </c>
      <c r="E56" s="71" t="s">
        <v>187</v>
      </c>
      <c r="F56" s="71" t="s">
        <v>191</v>
      </c>
      <c r="G56" s="89"/>
      <c r="H56" s="93" t="s">
        <v>271</v>
      </c>
      <c r="I56" s="101"/>
      <c r="J56" s="92"/>
      <c r="K56" s="92"/>
    </row>
    <row r="57" customFormat="false" ht="16.4" hidden="false" customHeight="false" outlineLevel="0" collapsed="false">
      <c r="B57" s="88" t="n">
        <v>4005</v>
      </c>
      <c r="C57" s="88" t="s">
        <v>192</v>
      </c>
      <c r="D57" s="71" t="s">
        <v>79</v>
      </c>
      <c r="E57" s="71" t="s">
        <v>193</v>
      </c>
      <c r="F57" s="71" t="s">
        <v>194</v>
      </c>
      <c r="G57" s="89"/>
      <c r="H57" s="93" t="s">
        <v>273</v>
      </c>
      <c r="I57" s="101"/>
      <c r="J57" s="92"/>
      <c r="K57" s="92"/>
    </row>
    <row r="58" customFormat="false" ht="16.4" hidden="false" customHeight="false" outlineLevel="0" collapsed="false">
      <c r="B58" s="88" t="n">
        <v>4006</v>
      </c>
      <c r="C58" s="88" t="s">
        <v>195</v>
      </c>
      <c r="D58" s="71" t="s">
        <v>79</v>
      </c>
      <c r="E58" s="71" t="s">
        <v>193</v>
      </c>
      <c r="F58" s="71" t="s">
        <v>196</v>
      </c>
      <c r="G58" s="89"/>
      <c r="H58" s="93" t="s">
        <v>274</v>
      </c>
      <c r="I58" s="101"/>
      <c r="J58" s="92"/>
      <c r="K58" s="92"/>
    </row>
    <row r="59" customFormat="false" ht="16.4" hidden="false" customHeight="false" outlineLevel="0" collapsed="false">
      <c r="B59" s="88" t="n">
        <v>4007</v>
      </c>
      <c r="C59" s="88" t="s">
        <v>197</v>
      </c>
      <c r="D59" s="71" t="s">
        <v>79</v>
      </c>
      <c r="E59" s="71" t="s">
        <v>193</v>
      </c>
      <c r="F59" s="71" t="s">
        <v>136</v>
      </c>
      <c r="G59" s="89"/>
      <c r="H59" s="93" t="s">
        <v>275</v>
      </c>
      <c r="I59" s="101"/>
      <c r="J59" s="92"/>
      <c r="K59" s="92"/>
    </row>
    <row r="60" customFormat="false" ht="16.4" hidden="false" customHeight="false" outlineLevel="0" collapsed="false">
      <c r="B60" s="88" t="n">
        <v>4008</v>
      </c>
      <c r="C60" s="88" t="s">
        <v>198</v>
      </c>
      <c r="D60" s="71" t="s">
        <v>79</v>
      </c>
      <c r="E60" s="71" t="s">
        <v>140</v>
      </c>
      <c r="F60" s="71" t="s">
        <v>141</v>
      </c>
      <c r="G60" s="89"/>
      <c r="H60" s="93" t="s">
        <v>276</v>
      </c>
      <c r="I60" s="101"/>
      <c r="J60" s="92"/>
      <c r="K60" s="92"/>
    </row>
    <row r="61" customFormat="false" ht="16.4" hidden="false" customHeight="false" outlineLevel="0" collapsed="false">
      <c r="B61" s="88" t="n">
        <v>4009</v>
      </c>
      <c r="C61" s="88" t="s">
        <v>199</v>
      </c>
      <c r="D61" s="71" t="s">
        <v>79</v>
      </c>
      <c r="E61" s="71" t="s">
        <v>140</v>
      </c>
      <c r="F61" s="71" t="s">
        <v>141</v>
      </c>
      <c r="G61" s="89"/>
      <c r="H61" s="93" t="s">
        <v>277</v>
      </c>
      <c r="I61" s="101"/>
      <c r="J61" s="92"/>
      <c r="K61" s="92"/>
    </row>
    <row r="62" customFormat="false" ht="16.4" hidden="false" customHeight="false" outlineLevel="0" collapsed="false">
      <c r="B62" s="88" t="n">
        <v>4010</v>
      </c>
      <c r="C62" s="88" t="s">
        <v>200</v>
      </c>
      <c r="D62" s="71" t="s">
        <v>79</v>
      </c>
      <c r="E62" s="71" t="s">
        <v>140</v>
      </c>
      <c r="F62" s="71" t="s">
        <v>141</v>
      </c>
      <c r="G62" s="89"/>
      <c r="H62" s="93" t="s">
        <v>278</v>
      </c>
      <c r="I62" s="101"/>
      <c r="J62" s="92"/>
      <c r="K62" s="92"/>
    </row>
    <row r="63" customFormat="false" ht="16.4" hidden="false" customHeight="false" outlineLevel="0" collapsed="false">
      <c r="B63" s="88" t="n">
        <v>4011</v>
      </c>
      <c r="C63" s="88" t="s">
        <v>201</v>
      </c>
      <c r="D63" s="71" t="s">
        <v>79</v>
      </c>
      <c r="E63" s="71" t="s">
        <v>140</v>
      </c>
      <c r="F63" s="71" t="s">
        <v>141</v>
      </c>
      <c r="G63" s="89"/>
      <c r="H63" s="93" t="s">
        <v>279</v>
      </c>
      <c r="I63" s="101"/>
      <c r="J63" s="92"/>
      <c r="K63" s="92"/>
    </row>
    <row r="64" customFormat="false" ht="16.4" hidden="false" customHeight="false" outlineLevel="0" collapsed="false">
      <c r="B64" s="85"/>
      <c r="C64" s="85" t="s">
        <v>202</v>
      </c>
      <c r="D64" s="86"/>
      <c r="E64" s="86"/>
      <c r="F64" s="86"/>
      <c r="G64" s="86"/>
      <c r="H64" s="86"/>
      <c r="I64" s="86"/>
      <c r="J64" s="86"/>
      <c r="K64" s="86"/>
    </row>
    <row r="65" customFormat="false" ht="16.4" hidden="false" customHeight="false" outlineLevel="0" collapsed="false">
      <c r="B65" s="88" t="n">
        <v>5001</v>
      </c>
      <c r="C65" s="88" t="s">
        <v>203</v>
      </c>
      <c r="D65" s="71" t="s">
        <v>204</v>
      </c>
      <c r="E65" s="71" t="s">
        <v>140</v>
      </c>
      <c r="F65" s="71" t="s">
        <v>141</v>
      </c>
      <c r="G65" s="89" t="s">
        <v>205</v>
      </c>
      <c r="H65" s="103" t="s">
        <v>280</v>
      </c>
      <c r="I65" s="91"/>
      <c r="J65" s="92"/>
      <c r="K65" s="92"/>
    </row>
    <row r="66" customFormat="false" ht="16.4" hidden="false" customHeight="false" outlineLevel="0" collapsed="false">
      <c r="B66" s="88" t="n">
        <v>5002</v>
      </c>
      <c r="C66" s="88" t="s">
        <v>206</v>
      </c>
      <c r="D66" s="71" t="s">
        <v>204</v>
      </c>
      <c r="E66" s="71" t="s">
        <v>140</v>
      </c>
      <c r="F66" s="71" t="s">
        <v>136</v>
      </c>
      <c r="G66" s="89" t="n">
        <v>4291</v>
      </c>
      <c r="H66" s="93" t="s">
        <v>281</v>
      </c>
      <c r="I66" s="91"/>
      <c r="J66" s="92"/>
      <c r="K66" s="92"/>
    </row>
    <row r="67" customFormat="false" ht="16.4" hidden="false" customHeight="false" outlineLevel="0" collapsed="false">
      <c r="B67" s="88" t="n">
        <v>5003</v>
      </c>
      <c r="C67" s="88" t="s">
        <v>207</v>
      </c>
      <c r="D67" s="71" t="s">
        <v>204</v>
      </c>
      <c r="E67" s="71" t="s">
        <v>140</v>
      </c>
      <c r="F67" s="71" t="s">
        <v>136</v>
      </c>
      <c r="G67" s="89" t="n">
        <v>1742</v>
      </c>
      <c r="H67" s="93" t="s">
        <v>282</v>
      </c>
      <c r="I67" s="91"/>
      <c r="J67" s="92"/>
      <c r="K67" s="92"/>
    </row>
    <row r="68" customFormat="false" ht="16.4" hidden="false" customHeight="false" outlineLevel="0" collapsed="false">
      <c r="B68" s="88" t="n">
        <v>5004</v>
      </c>
      <c r="C68" s="88" t="s">
        <v>208</v>
      </c>
      <c r="D68" s="71" t="s">
        <v>204</v>
      </c>
      <c r="E68" s="71" t="s">
        <v>140</v>
      </c>
      <c r="F68" s="71" t="s">
        <v>136</v>
      </c>
      <c r="G68" s="89" t="n">
        <v>1400</v>
      </c>
      <c r="H68" s="93" t="s">
        <v>283</v>
      </c>
      <c r="I68" s="91"/>
      <c r="J68" s="92"/>
      <c r="K68" s="92"/>
    </row>
    <row r="69" customFormat="false" ht="16.4" hidden="false" customHeight="false" outlineLevel="0" collapsed="false">
      <c r="B69" s="88" t="n">
        <v>5005</v>
      </c>
      <c r="C69" s="88" t="s">
        <v>209</v>
      </c>
      <c r="D69" s="71" t="s">
        <v>204</v>
      </c>
      <c r="E69" s="71" t="s">
        <v>140</v>
      </c>
      <c r="F69" s="71" t="s">
        <v>136</v>
      </c>
      <c r="G69" s="89" t="n">
        <v>934</v>
      </c>
      <c r="H69" s="93" t="s">
        <v>284</v>
      </c>
      <c r="I69" s="91"/>
      <c r="J69" s="92"/>
      <c r="K69" s="92"/>
    </row>
    <row r="70" customFormat="false" ht="16.4" hidden="false" customHeight="false" outlineLevel="0" collapsed="false">
      <c r="B70" s="88" t="n">
        <v>5006</v>
      </c>
      <c r="C70" s="88" t="s">
        <v>210</v>
      </c>
      <c r="D70" s="71" t="s">
        <v>204</v>
      </c>
      <c r="E70" s="71" t="s">
        <v>140</v>
      </c>
      <c r="F70" s="71" t="s">
        <v>136</v>
      </c>
      <c r="G70" s="89" t="n">
        <v>600</v>
      </c>
      <c r="H70" s="93" t="s">
        <v>285</v>
      </c>
      <c r="I70" s="91"/>
      <c r="J70" s="92"/>
      <c r="K70" s="92"/>
    </row>
    <row r="71" customFormat="false" ht="16.4" hidden="false" customHeight="false" outlineLevel="0" collapsed="false">
      <c r="B71" s="88" t="n">
        <v>5007</v>
      </c>
      <c r="C71" s="88" t="s">
        <v>211</v>
      </c>
      <c r="D71" s="71" t="s">
        <v>204</v>
      </c>
      <c r="E71" s="71" t="s">
        <v>140</v>
      </c>
      <c r="F71" s="71" t="s">
        <v>136</v>
      </c>
      <c r="G71" s="89" t="n">
        <v>808</v>
      </c>
      <c r="H71" s="93" t="s">
        <v>286</v>
      </c>
      <c r="I71" s="91"/>
      <c r="J71" s="92"/>
      <c r="K71" s="92"/>
    </row>
    <row r="72" customFormat="false" ht="16.4" hidden="false" customHeight="false" outlineLevel="0" collapsed="false">
      <c r="B72" s="88" t="n">
        <v>5008</v>
      </c>
      <c r="C72" s="88" t="s">
        <v>212</v>
      </c>
      <c r="D72" s="71" t="s">
        <v>204</v>
      </c>
      <c r="E72" s="71" t="s">
        <v>140</v>
      </c>
      <c r="F72" s="71" t="s">
        <v>136</v>
      </c>
      <c r="G72" s="89" t="n">
        <v>37.9</v>
      </c>
      <c r="H72" s="93" t="s">
        <v>287</v>
      </c>
      <c r="I72" s="91"/>
      <c r="J72" s="92"/>
      <c r="K72" s="92"/>
    </row>
    <row r="73" customFormat="false" ht="15.75" hidden="false" customHeight="false" outlineLevel="0" collapsed="false">
      <c r="B73" s="92"/>
      <c r="C73" s="92"/>
      <c r="D73" s="91"/>
      <c r="E73" s="91"/>
      <c r="F73" s="91"/>
      <c r="G73" s="91"/>
      <c r="H73" s="90"/>
      <c r="I73" s="91"/>
      <c r="J73" s="92"/>
      <c r="K73" s="92"/>
    </row>
    <row r="74" customFormat="false" ht="16.4" hidden="false" customHeight="false" outlineLevel="0" collapsed="false">
      <c r="B74" s="104"/>
      <c r="C74" s="104" t="s">
        <v>213</v>
      </c>
      <c r="D74" s="105"/>
      <c r="E74" s="105"/>
      <c r="F74" s="105"/>
      <c r="G74" s="105"/>
      <c r="H74" s="86"/>
      <c r="I74" s="86"/>
      <c r="J74" s="86"/>
      <c r="K74" s="86"/>
    </row>
    <row r="75" customFormat="false" ht="16.4" hidden="false" customHeight="false" outlineLevel="0" collapsed="false">
      <c r="B75" s="88"/>
      <c r="C75" s="88" t="s">
        <v>214</v>
      </c>
      <c r="D75" s="71" t="s">
        <v>163</v>
      </c>
      <c r="E75" s="71" t="s">
        <v>175</v>
      </c>
      <c r="F75" s="71" t="s">
        <v>136</v>
      </c>
      <c r="G75" s="89"/>
      <c r="H75" s="90"/>
      <c r="I75" s="91"/>
      <c r="J75" s="92"/>
      <c r="K75" s="92"/>
    </row>
  </sheetData>
  <hyperlinks>
    <hyperlink ref="I54" r:id="rId1" display="https://www.transportdata.gov.lv/lv/card/978835ee-f55b-481c-9791-ba0395d3619a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2026-10-03T12:01:12Z</dcterms:created>
  <dc:creator>Krista Pētersone</dc:creator>
  <dc:description/>
  <dc:language>en-US</dc:language>
  <cp:lastModifiedBy>Krista Pētersone</cp:lastModifiedBy>
  <dcterms:modified xsi:type="dcterms:W3CDTF">2026-10-29T15:32:55Z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0x010100EAF69CFE3502E4499814BDDC03D1C536</vt:lpwstr>
  </property>
  <property fmtid="{D5CDD505-2E9C-101B-9397-08002B2CF9AE}" pid="3" name="MediaServiceImageTags">
    <vt:lpwstr/>
  </property>
</Properties>
</file>